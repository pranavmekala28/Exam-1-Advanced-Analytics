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3.xml" ContentType="application/vnd.openxmlformats-officedocument.spreadsheetml.table+xml"/>
  <Override PartName="/xl/tables/table1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tables/table15.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6.xml" ContentType="application/vnd.openxmlformats-officedocument.spreadsheetml.table+xml"/>
  <Override PartName="/xl/tables/table17.xml" ContentType="application/vnd.openxmlformats-officedocument.spreadsheetml.table+xml"/>
  <Override PartName="/xl/drawings/drawing8.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rana\Downloads\"/>
    </mc:Choice>
  </mc:AlternateContent>
  <xr:revisionPtr revIDLastSave="0" documentId="8_{CC78628F-3A44-4758-8CB4-B9452D8C9050}" xr6:coauthVersionLast="47" xr6:coauthVersionMax="47" xr10:uidLastSave="{00000000-0000-0000-0000-000000000000}"/>
  <bookViews>
    <workbookView xWindow="-96" yWindow="-96" windowWidth="17472" windowHeight="10992" tabRatio="740" xr2:uid="{52F4790A-1B8E-49B7-A7E7-E53A540C4A5C}"/>
  </bookViews>
  <sheets>
    <sheet name="Sheet1" sheetId="38" r:id="rId1"/>
    <sheet name="Sheet2" sheetId="39" r:id="rId2"/>
    <sheet name="Sheet3" sheetId="40" r:id="rId3"/>
    <sheet name="Data Determination" sheetId="2" r:id="rId4"/>
    <sheet name="Forecast_Cookies" sheetId="27" r:id="rId5"/>
    <sheet name="Forecast_Soda" sheetId="28" r:id="rId6"/>
    <sheet name="Forecast_Coffee" sheetId="29" r:id="rId7"/>
    <sheet name="Forecast_Speciaity " sheetId="30" r:id="rId8"/>
    <sheet name="Detail1" sheetId="41" r:id="rId9"/>
    <sheet name="Detail2" sheetId="42" r:id="rId10"/>
    <sheet name="Visualization Data" sheetId="3" r:id="rId11"/>
    <sheet name="Dashboard" sheetId="33" r:id="rId12"/>
    <sheet name="Natural Soap" sheetId="24" r:id="rId13"/>
    <sheet name="Soap Sales" sheetId="4" r:id="rId14"/>
    <sheet name="Soap Customer Profiles" sheetId="19" r:id="rId15"/>
    <sheet name="Merged_soap" sheetId="34" r:id="rId16"/>
    <sheet name="(b)" sheetId="35" r:id="rId17"/>
    <sheet name="(c)" sheetId="36" r:id="rId18"/>
    <sheet name="(d)" sheetId="37" r:id="rId19"/>
    <sheet name="Soap Conjoint" sheetId="23"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localSheetId="10"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15" hidden="1">Merged_soap!$A$1:$M$121</definedName>
    <definedName name="a">#REF!</definedName>
    <definedName name="a_">'[1]S-curve'!$K$11</definedName>
    <definedName name="aa">'[2]S-curve'!$F$14</definedName>
    <definedName name="AlbzData">#REF!</definedName>
    <definedName name="alp">#REF!</definedName>
    <definedName name="alpha">#REF!</definedName>
    <definedName name="amount">[3]RFM!$E$11:$E$30</definedName>
    <definedName name="anngrowth">'[4]Dynamic Labels'!$D$3</definedName>
    <definedName name="apar">[5]gomp!$H$3</definedName>
    <definedName name="aprime">#REF!</definedName>
    <definedName name="aprime1">#REF!</definedName>
    <definedName name="Assigned">'[6]soap cluster 3'!$P$15:$P$132</definedName>
    <definedName name="AtlzData">#REF!</definedName>
    <definedName name="AuszData">#REF!</definedName>
    <definedName name="AXY">'[6]MDS (Sum)'!$B$42:$C$42</definedName>
    <definedName name="b">#REF!</definedName>
    <definedName name="b_">'[1]S-curve'!$L$11</definedName>
    <definedName name="BalzData">#REF!</definedName>
    <definedName name="base">[7]initialization!$G$6</definedName>
    <definedName name="baseadd">'[1]Trend &amp; Seasonality a'!$B$6</definedName>
    <definedName name="bb">#REF!</definedName>
    <definedName name="bet">#REF!</definedName>
    <definedName name="beta">#REF!</definedName>
    <definedName name="BoszData">#REF!</definedName>
    <definedName name="bpar">[5]gomp!$I$3</definedName>
    <definedName name="BXY">'[6]MDS (Sum)'!$B$43:$C$43</definedName>
    <definedName name="c_">[8]AMZ!$F$3</definedName>
    <definedName name="cc">'[2]S-curve'!$H$14</definedName>
    <definedName name="ChazData">#REF!</definedName>
    <definedName name="ChizData">#REF!</definedName>
    <definedName name="CinzData">#REF!</definedName>
    <definedName name="CityData">#REF!</definedName>
    <definedName name="ClezData">#REF!</definedName>
    <definedName name="Cluster1">'[9]Cluster (3-Cluster Answer)'!$M$10:$R$10</definedName>
    <definedName name="Cluster2">'[9]Cluster (3-Cluster Answer)'!$M$11:$R$11</definedName>
    <definedName name="Cluster3">'[9]Cluster (3-Cluster Answer)'!$M$12:$R$12</definedName>
    <definedName name="Cluster4">'[9]Cluster (6-Cluster Answer)'!$M$13:$R$13</definedName>
    <definedName name="Cluster5">'[9]Cluster (6-Cluster Answer)'!$M$14:$R$14</definedName>
    <definedName name="Cluster6">'[9]Cluster (6-Cluster Answer)'!$M$15:$R$15</definedName>
    <definedName name="ColzData">#REF!</definedName>
    <definedName name="const">#REF!</definedName>
    <definedName name="cpar">[5]gomp!$J$3</definedName>
    <definedName name="CUS_1">'[10]MDS Analysis'!$N$15:$T$15</definedName>
    <definedName name="CUS_10">'[10]MDS Analysis'!$N$24:$T$24</definedName>
    <definedName name="CUS_11">'[10]MDS Analysis'!$N$25:$T$25</definedName>
    <definedName name="CUS_12">'[10]MDS Analysis'!$N$26:$T$26</definedName>
    <definedName name="CUS_13">'[10]MDS Analysis'!$N$27:$T$27</definedName>
    <definedName name="CUS_14">'[10]MDS Analysis'!$N$28:$T$28</definedName>
    <definedName name="CUS_15">'[10]MDS Analysis'!$N$29:$T$29</definedName>
    <definedName name="CUS_16">'[10]MDS Analysis'!$N$30:$T$30</definedName>
    <definedName name="CUS_17">'[10]MDS Analysis'!$N$31:$T$31</definedName>
    <definedName name="CUS_18">'[10]MDS Analysis'!$N$32:$T$32</definedName>
    <definedName name="CUS_19">'[10]MDS Analysis'!$N$33:$T$33</definedName>
    <definedName name="CUS_2">'[10]MDS Analysis'!$N$16:$T$16</definedName>
    <definedName name="CUS_20">'[10]MDS Analysis'!$N$34:$T$34</definedName>
    <definedName name="CUS_3">'[10]MDS Analysis'!$N$17:$T$17</definedName>
    <definedName name="CUS_4">'[10]MDS Analysis'!$N$18:$T$18</definedName>
    <definedName name="CUS_5">'[10]MDS Analysis'!$N$19:$T$19</definedName>
    <definedName name="CUS_6">'[10]MDS Analysis'!$N$20:$T$20</definedName>
    <definedName name="CUS_7">'[10]MDS Analysis'!$N$21:$T$21</definedName>
    <definedName name="CUS_8">'[10]MDS Analysis'!$N$22:$T$22</definedName>
    <definedName name="CUS_9">'[10]MDS Analysis'!$N$23:$T$23</definedName>
    <definedName name="Cust21xy">'[9]MDS Analysis (Answer-CustMDS)'!$C$113:$D$113</definedName>
    <definedName name="Cust21z">'[9]MDS Analysis (Answer-CustMDS)'!$K$29:$P$29</definedName>
    <definedName name="Cust22xy">'[9]MDS Analysis (Answer-CustMDS)'!$C$114:$D$114</definedName>
    <definedName name="Cust22z">'[9]MDS Analysis (Answer-CustMDS)'!$K$30:$P$30</definedName>
    <definedName name="Cust23xy">'[9]MDS Analysis (Answer-CustMDS)'!$C$115:$D$115</definedName>
    <definedName name="Cust23z">'[9]MDS Analysis (Answer-CustMDS)'!$K$31:$P$31</definedName>
    <definedName name="Cust24xy">'[9]MDS Analysis (Answer-CustMDS)'!$C$116:$D$116</definedName>
    <definedName name="Cust24z">'[9]MDS Analysis (Answer-CustMDS)'!$K$32:$P$32</definedName>
    <definedName name="Cust25xy">'[9]MDS Analysis (Answer-CustMDS)'!$C$117:$D$117</definedName>
    <definedName name="Cust25z">'[9]MDS Analysis (Answer-CustMDS)'!$K$33:$P$33</definedName>
    <definedName name="CUSxy_1">'[10]MDS Analysis'!$B$85:$C$85</definedName>
    <definedName name="CUSxy_10">'[10]MDS Analysis'!$B$94:$C$94</definedName>
    <definedName name="CUSxy_11">'[10]MDS Analysis'!$B$95:$C$95</definedName>
    <definedName name="CUSxy_12">'[10]MDS Analysis'!$B$96:$C$96</definedName>
    <definedName name="CUSxy_13">'[10]MDS Analysis'!$B$97:$C$97</definedName>
    <definedName name="CUSxy_14">'[10]MDS Analysis'!$B$98:$C$98</definedName>
    <definedName name="CUSxy_15">'[10]MDS Analysis'!$B$99:$C$99</definedName>
    <definedName name="CUSxy_16">'[10]MDS Analysis'!$B$100:$C$100</definedName>
    <definedName name="CUSxy_17">'[10]MDS Analysis'!$B$101:$C$101</definedName>
    <definedName name="CUSxy_18">'[10]MDS Analysis'!$B$102:$C$102</definedName>
    <definedName name="CUSxy_19">'[10]MDS Analysis'!$B$103:$C$103</definedName>
    <definedName name="CUSxy_2">'[10]MDS Analysis'!$B$86:$C$86</definedName>
    <definedName name="CUSxy_20">'[10]MDS Analysis'!$B$104:$C$104</definedName>
    <definedName name="CUSxy_3">'[10]MDS Analysis'!$B$87:$C$87</definedName>
    <definedName name="CUSxy_4">'[10]MDS Analysis'!$B$88:$C$88</definedName>
    <definedName name="CUSxy_5">'[10]MDS Analysis'!$B$89:$C$89</definedName>
    <definedName name="CUSxy_6">'[10]MDS Analysis'!$B$90:$C$90</definedName>
    <definedName name="CUSxy_7">'[10]MDS Analysis'!$B$91:$C$91</definedName>
    <definedName name="CUSxy_8">'[10]MDS Analysis'!$B$92:$C$92</definedName>
    <definedName name="CUSxy_9">'[10]MDS Analysis'!$B$93:$C$93</definedName>
    <definedName name="CXY">'[6]MDS (Sum)'!$B$44:$C$44</definedName>
    <definedName name="DalzData">#REF!</definedName>
    <definedName name="Data">'[6]soap cluster 3'!$A$15:$K$132</definedName>
    <definedName name="date">[3]RFM!$C$11:$C$30</definedName>
    <definedName name="demand">#REF!</definedName>
    <definedName name="demand_A">'[1]Soap A &amp; B'!$W$14</definedName>
    <definedName name="DenzData">#REF!</definedName>
    <definedName name="DetzData">#REF!</definedName>
    <definedName name="discount_rate">'[11]basic model'!$B$1</definedName>
    <definedName name="discountrate">[1]CLV!$B$7</definedName>
    <definedName name="Distance">'[6]MDS (Sum)'!$F$25:$K$30</definedName>
    <definedName name="distances">[1]MDS!$F$29:$K$34</definedName>
    <definedName name="DXY">'[6]MDS (Sum)'!$B$45:$C$45</definedName>
    <definedName name="ElPzData">#REF!</definedName>
    <definedName name="ERic">#REF!</definedName>
    <definedName name="EXY">'[6]MDS (Sum)'!$B$46:$C$46</definedName>
    <definedName name="F">[1]RFM!$M$11:$M$30</definedName>
    <definedName name="Frequency">[6]RFM!$K$11:$K$30</definedName>
    <definedName name="FrezData">#REF!</definedName>
    <definedName name="FtWzData">#REF!</definedName>
    <definedName name="FXY">'[6]MDS (Sum)'!$B$47:$C$47</definedName>
    <definedName name="gam">#REF!</definedName>
    <definedName name="gamma">#REF!</definedName>
    <definedName name="HonzData">#REF!</definedName>
    <definedName name="HouzData">#REF!</definedName>
    <definedName name="improve_half_way_years_needed">'[11]growing margins'!$G$5</definedName>
    <definedName name="IndzData">#REF!</definedName>
    <definedName name="JaczData">#REF!</definedName>
    <definedName name="k">'[11]growing margins'!$I$4</definedName>
    <definedName name="KanzData">#REF!</definedName>
    <definedName name="kretent">#REF!</definedName>
    <definedName name="L">#REF!</definedName>
    <definedName name="LAzData">#REF!</definedName>
    <definedName name="location">[12]MDS!$C$5:$D$14</definedName>
    <definedName name="LongBzData">#REF!</definedName>
    <definedName name="lookdis">'[11]basic model'!$H$3:$I$5</definedName>
    <definedName name="lookinc">#REF!</definedName>
    <definedName name="lookjob">#REF!</definedName>
    <definedName name="lookmarr">#REF!</definedName>
    <definedName name="lookseason">#REF!</definedName>
    <definedName name="Lookup">[13]nfl2000!$L$3:$M$33</definedName>
    <definedName name="Lookup_">[1]Cluster!$A$10:$P$30</definedName>
    <definedName name="lookup2">'[1]Soap A &amp; B'!$N$133:$U$251</definedName>
    <definedName name="lookup3">'[1]Soap A &amp; B'!$A$268:$G$386</definedName>
    <definedName name="Lotion" localSheetId="12">'Natural Soap'!$F$62:$F$126</definedName>
    <definedName name="Lotion">'Soap Sales'!$F$3:$F$120</definedName>
    <definedName name="LVzData">#REF!</definedName>
    <definedName name="M">[1]RFM!$N$11:$N$30</definedName>
    <definedName name="MargBenefits">[14]agency!$B$40:$B$41</definedName>
    <definedName name="MemzData">#REF!</definedName>
    <definedName name="MiazData">#REF!</definedName>
    <definedName name="MilzData">#REF!</definedName>
    <definedName name="MinzData">#REF!</definedName>
    <definedName name="Monetary">[6]RFM!$L$11:$L$30</definedName>
    <definedName name="Most__Recent_Order">[1]RFM!$B$11:$B$30</definedName>
    <definedName name="NaszData">#REF!</definedName>
    <definedName name="Nbar">#REF!</definedName>
    <definedName name="NewFraser">[3]Cluster!$R$27:$X$27</definedName>
    <definedName name="NewGorham">[3]Cluster!$AH$27:$AN$27</definedName>
    <definedName name="NewKingsgate">[3]Cluster!$Z$27:$AF$27</definedName>
    <definedName name="NOzData">#REF!</definedName>
    <definedName name="Number_of__Orders">[1]RFM!$C$11:$C$30</definedName>
    <definedName name="NYzData">#REF!</definedName>
    <definedName name="OakzData">#REF!</definedName>
    <definedName name="OKCzData">#REF!</definedName>
    <definedName name="Old">#REF!</definedName>
    <definedName name="OmazData">#REF!</definedName>
    <definedName name="orders">[3]RFM!$D$11:$D$30</definedName>
    <definedName name="Original">'[10]MDS Analysis'!$F$39:$Y$58</definedName>
    <definedName name="OriginalData">'[6]MDS (VRank)'!$F$32:$K$37</definedName>
    <definedName name="OriginalRank">'[6]MDS (VRank)'!$F$41:$K$46</definedName>
    <definedName name="OriginalRanks">'[6]MDS (Sum)'!$F$33:$K$38</definedName>
    <definedName name="p">#REF!</definedName>
    <definedName name="Pal_Workbook_GUID" hidden="1">"5SHRA32K7GY1Q8VDANMT2UZ4"</definedName>
    <definedName name="PhizData">#REF!</definedName>
    <definedName name="PhozData">#REF!</definedName>
    <definedName name="PittzData">#REF!</definedName>
    <definedName name="PortzData">#REF!</definedName>
    <definedName name="Price">'[6]Answer - Soap A &amp; B'!$C$2:$C$119</definedName>
    <definedName name="price_A">'[1]Soap A &amp; B'!$W$13</definedName>
    <definedName name="Product">'[6]Answer - Soap A &amp; B'!$B$2:$B$119</definedName>
    <definedName name="Profit">'[6]soap cluster 3'!$Q$15:$Q$132</definedName>
    <definedName name="q">#REF!</definedName>
    <definedName name="Q1_">#REF!</definedName>
    <definedName name="Q2_">#REF!</definedName>
    <definedName name="Q3_">#REF!</definedName>
    <definedName name="Q4_">#REF!</definedName>
    <definedName name="Quartile1">[3]Cluster!$B$29:$J$29</definedName>
    <definedName name="Quartile2">[3]Cluster!$B$30:$J$30</definedName>
    <definedName name="Quartile3">[3]Cluster!$B$31:$J$31</definedName>
    <definedName name="R_">[1]RFM!$L$11:$L$30</definedName>
    <definedName name="RankOriginal">'[10]MDS Analysis'!$F$62:$Y$81</definedName>
    <definedName name="ranks">[12]MDS!$G$31:$P$40</definedName>
    <definedName name="rating">[15]RFM!$P$3:$Q$6</definedName>
    <definedName name="Recency">[6]RFM!$J$11:$J$30</definedName>
    <definedName name="retention_rate">'[11]basic model'!$B$2</definedName>
    <definedName name="retentionrate">[1]CLV!$B$8</definedName>
    <definedName name="RFMDATA">'[9]Cluster (3-Cluster Answer)'!$A$17:$Q$41</definedName>
    <definedName name="rfmlookup">[3]RFM!$N$3:$O$6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localSheetId="10" hidden="1">6</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localSheetId="10" hidden="1">100</definedName>
    <definedName name="RiskNumIterations" hidden="1">10000</definedName>
    <definedName name="RiskNumSimulations" hidden="1">1</definedName>
    <definedName name="RiskPauseOnError" hidden="1">FALSE</definedName>
    <definedName name="RiskRealTimeResults">FALSE</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localSheetId="10" hidden="1">1</definedName>
    <definedName name="RiskStandardRecalc" hidden="1">2</definedName>
    <definedName name="RiskStatFunctionsUpdateFreq">1</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SaczData">#REF!</definedName>
    <definedName name="Sales">'[6]Answer - Soap A &amp; B'!$D$2:$D$119</definedName>
    <definedName name="Sales__Dollars">[1]RFM!$D$11:$D$30</definedName>
    <definedName name="SanAzData">#REF!</definedName>
    <definedName name="SanDzData">#REF!</definedName>
    <definedName name="SanFzData">#REF!</definedName>
    <definedName name="SanJzData">#REF!</definedName>
    <definedName name="season">[7]initialization!$H$3:$I$14</definedName>
    <definedName name="SeazData">#REF!</definedName>
    <definedName name="SecondRank">'[6]MDS (VRank)'!$F$60:$K$65</definedName>
    <definedName name="similarities">[12]MDS!$G$5:$P$14</definedName>
    <definedName name="SoapCost" localSheetId="12">'Natural Soap'!$D$62:$D$126</definedName>
    <definedName name="SoapCost">'Soap Sales'!$D$3:$D$120</definedName>
    <definedName name="SoapPrice" localSheetId="12">'Natural Soap'!$E$62:$E$126</definedName>
    <definedName name="SoapPrice">'Soap Sales'!$E$3:$E$120</definedName>
    <definedName name="SoapSold" localSheetId="12">'Natural Soap'!$C$62:$C$126</definedName>
    <definedName name="SoapSold">'Soap Sales'!$C$3:$C$120</definedName>
    <definedName name="SoapType" localSheetId="12">'Natural Soap'!$B$62:$B$126</definedName>
    <definedName name="SoapType">'Soap Sales'!$B$3:$B$120</definedName>
    <definedName name="solver_adj" localSheetId="12" hidden="1">'Natural Soap'!$U$31</definedName>
    <definedName name="solver_adj" localSheetId="14" hidden="1">'Soap Customer Profiles'!#REF!</definedName>
    <definedName name="solver_adj" localSheetId="13" hidden="1">'Soap Sales'!#REF!</definedName>
    <definedName name="solver_cvg" localSheetId="12" hidden="1">0.0001</definedName>
    <definedName name="solver_cvg" localSheetId="14" hidden="1">0.0001</definedName>
    <definedName name="solver_cvg" localSheetId="13" hidden="1">0.0001</definedName>
    <definedName name="solver_drv" localSheetId="12" hidden="1">1</definedName>
    <definedName name="solver_drv" localSheetId="14" hidden="1">1</definedName>
    <definedName name="solver_drv" localSheetId="13" hidden="1">1</definedName>
    <definedName name="solver_eng" localSheetId="16" hidden="1">1</definedName>
    <definedName name="solver_eng" localSheetId="12" hidden="1">1</definedName>
    <definedName name="solver_eng" localSheetId="19" hidden="1">1</definedName>
    <definedName name="solver_eng" localSheetId="14" hidden="1">1</definedName>
    <definedName name="solver_eng" localSheetId="13" hidden="1">1</definedName>
    <definedName name="solver_est" localSheetId="12" hidden="1">1</definedName>
    <definedName name="solver_est" localSheetId="14" hidden="1">1</definedName>
    <definedName name="solver_est" localSheetId="13" hidden="1">1</definedName>
    <definedName name="solver_itr" localSheetId="12" hidden="1">2147483647</definedName>
    <definedName name="solver_itr" localSheetId="14" hidden="1">2147483647</definedName>
    <definedName name="solver_itr" localSheetId="13" hidden="1">2147483647</definedName>
    <definedName name="solver_mip" localSheetId="12" hidden="1">2147483647</definedName>
    <definedName name="solver_mip" localSheetId="14" hidden="1">2147483647</definedName>
    <definedName name="solver_mip" localSheetId="13" hidden="1">2147483647</definedName>
    <definedName name="solver_mni" localSheetId="12" hidden="1">30</definedName>
    <definedName name="solver_mni" localSheetId="14" hidden="1">30</definedName>
    <definedName name="solver_mni" localSheetId="13" hidden="1">30</definedName>
    <definedName name="solver_mrt" localSheetId="12" hidden="1">0.075</definedName>
    <definedName name="solver_mrt" localSheetId="14" hidden="1">0.075</definedName>
    <definedName name="solver_mrt" localSheetId="13" hidden="1">0.075</definedName>
    <definedName name="solver_msl" localSheetId="12" hidden="1">2</definedName>
    <definedName name="solver_msl" localSheetId="14" hidden="1">2</definedName>
    <definedName name="solver_msl" localSheetId="13" hidden="1">2</definedName>
    <definedName name="solver_neg" localSheetId="16" hidden="1">1</definedName>
    <definedName name="solver_neg" localSheetId="12" hidden="1">1</definedName>
    <definedName name="solver_neg" localSheetId="19" hidden="1">1</definedName>
    <definedName name="solver_neg" localSheetId="14" hidden="1">1</definedName>
    <definedName name="solver_neg" localSheetId="13" hidden="1">1</definedName>
    <definedName name="solver_nod" localSheetId="12" hidden="1">2147483647</definedName>
    <definedName name="solver_nod" localSheetId="14" hidden="1">2147483647</definedName>
    <definedName name="solver_nod" localSheetId="13" hidden="1">2147483647</definedName>
    <definedName name="solver_num" localSheetId="16" hidden="1">0</definedName>
    <definedName name="solver_num" localSheetId="12" hidden="1">0</definedName>
    <definedName name="solver_num" localSheetId="19" hidden="1">0</definedName>
    <definedName name="solver_num" localSheetId="14" hidden="1">0</definedName>
    <definedName name="solver_num" localSheetId="13" hidden="1">0</definedName>
    <definedName name="solver_nwt" localSheetId="12" hidden="1">1</definedName>
    <definedName name="solver_nwt" localSheetId="14" hidden="1">1</definedName>
    <definedName name="solver_nwt" localSheetId="13" hidden="1">1</definedName>
    <definedName name="solver_opt" localSheetId="16" hidden="1">'(b)'!$F$1</definedName>
    <definedName name="solver_opt" localSheetId="12" hidden="1">'Natural Soap'!$U$34</definedName>
    <definedName name="solver_opt" localSheetId="14" hidden="1">'Soap Customer Profiles'!#REF!</definedName>
    <definedName name="solver_opt" localSheetId="13" hidden="1">'Soap Sales'!#REF!</definedName>
    <definedName name="solver_pre" localSheetId="12" hidden="1">0.000001</definedName>
    <definedName name="solver_pre" localSheetId="14" hidden="1">0.000001</definedName>
    <definedName name="solver_pre" localSheetId="13" hidden="1">0.000001</definedName>
    <definedName name="solver_rbv" localSheetId="12" hidden="1">1</definedName>
    <definedName name="solver_rbv" localSheetId="14" hidden="1">1</definedName>
    <definedName name="solver_rbv" localSheetId="13" hidden="1">1</definedName>
    <definedName name="solver_rlx" localSheetId="12" hidden="1">2</definedName>
    <definedName name="solver_rlx" localSheetId="14" hidden="1">2</definedName>
    <definedName name="solver_rlx" localSheetId="13" hidden="1">2</definedName>
    <definedName name="solver_rsd" localSheetId="12" hidden="1">0</definedName>
    <definedName name="solver_rsd" localSheetId="14" hidden="1">0</definedName>
    <definedName name="solver_rsd" localSheetId="13" hidden="1">0</definedName>
    <definedName name="solver_scl" localSheetId="12" hidden="1">1</definedName>
    <definedName name="solver_scl" localSheetId="14" hidden="1">1</definedName>
    <definedName name="solver_scl" localSheetId="13" hidden="1">1</definedName>
    <definedName name="solver_sho" localSheetId="12" hidden="1">2</definedName>
    <definedName name="solver_sho" localSheetId="14" hidden="1">2</definedName>
    <definedName name="solver_sho" localSheetId="13" hidden="1">2</definedName>
    <definedName name="solver_ssz" localSheetId="12" hidden="1">100</definedName>
    <definedName name="solver_ssz" localSheetId="14" hidden="1">100</definedName>
    <definedName name="solver_ssz" localSheetId="13" hidden="1">100</definedName>
    <definedName name="solver_tim" localSheetId="12" hidden="1">2147483647</definedName>
    <definedName name="solver_tim" localSheetId="14" hidden="1">2147483647</definedName>
    <definedName name="solver_tim" localSheetId="13" hidden="1">2147483647</definedName>
    <definedName name="solver_tol" localSheetId="12" hidden="1">0.01</definedName>
    <definedName name="solver_tol" localSheetId="14" hidden="1">0.01</definedName>
    <definedName name="solver_tol" localSheetId="13" hidden="1">0.01</definedName>
    <definedName name="solver_typ" localSheetId="16" hidden="1">1</definedName>
    <definedName name="solver_typ" localSheetId="12" hidden="1">1</definedName>
    <definedName name="solver_typ" localSheetId="19" hidden="1">1</definedName>
    <definedName name="solver_typ" localSheetId="14" hidden="1">1</definedName>
    <definedName name="solver_typ" localSheetId="13" hidden="1">1</definedName>
    <definedName name="solver_val" localSheetId="16" hidden="1">0</definedName>
    <definedName name="solver_val" localSheetId="12" hidden="1">0</definedName>
    <definedName name="solver_val" localSheetId="19" hidden="1">0</definedName>
    <definedName name="solver_val" localSheetId="14" hidden="1">0</definedName>
    <definedName name="solver_val" localSheetId="13" hidden="1">0</definedName>
    <definedName name="solver_ver" localSheetId="16" hidden="1">3</definedName>
    <definedName name="solver_ver" localSheetId="12" hidden="1">3</definedName>
    <definedName name="solver_ver" localSheetId="19" hidden="1">3</definedName>
    <definedName name="solver_ver" localSheetId="14" hidden="1">3</definedName>
    <definedName name="solver_ver" localSheetId="13" hidden="1">3</definedName>
    <definedName name="steady_state_margin">'[11]growing margins'!$G$4</definedName>
    <definedName name="steady_state_retenion">#REF!</definedName>
    <definedName name="StLZData">#REF!</definedName>
    <definedName name="target">'[4]Dynamic Labels'!$D$1</definedName>
    <definedName name="TolzData">#REF!</definedName>
    <definedName name="total_profit">#REF!</definedName>
    <definedName name="trend">#REF!</definedName>
    <definedName name="trendpercent">#REF!</definedName>
    <definedName name="TuczData">#REF!</definedName>
    <definedName name="TulzData">#REF!</definedName>
    <definedName name="TwoData">'[6]MDS (VRank)'!$F$51:$K$56</definedName>
    <definedName name="twoddistances">[16]matrixnba!$K$66:$AM$94</definedName>
    <definedName name="TwoDistance">'[6]MDS (Sum)'!$F$42:$K$47</definedName>
    <definedName name="twodistances">[1]MDS!$F$47:$K$52</definedName>
    <definedName name="twodranks">[1]MDS!$F$56:$K$61</definedName>
    <definedName name="TwoRanks">'[6]MDS (Sum)'!$F$51:$K$56</definedName>
    <definedName name="unit_cost">#REF!</definedName>
    <definedName name="unit_cost_A">'[1]Soap A &amp; B'!$W$12</definedName>
    <definedName name="videogame_profit">#REF!</definedName>
    <definedName name="VirBzData">#REF!</definedName>
    <definedName name="WageHigh">[14]agency!$B$43</definedName>
    <definedName name="Wages">[14]agency!$B$24:$D$24</definedName>
    <definedName name="XYData">'[10]MDS Analysis'!$F$85:$Y$104</definedName>
    <definedName name="XYDataRank">'[10]MDS Analysis'!$F$109:$Y$128</definedName>
    <definedName name="year_1_margin">'[11]growing margins'!$G$3</definedName>
    <definedName name="year_1_retention">#REF!</definedName>
    <definedName name="Year1sales">'[4]Dynamic Labels'!$D$2</definedName>
  </definedNames>
  <calcPr calcId="191029"/>
  <pivotCaches>
    <pivotCache cacheId="15" r:id="rId37"/>
    <pivotCache cacheId="16" r:id="rId38"/>
    <pivotCache cacheId="17" r:id="rId39"/>
    <pivotCache cacheId="18" r:id="rId40"/>
    <pivotCache cacheId="19" r:id="rId4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3" i="2" l="1"/>
  <c r="N14" i="2"/>
  <c r="N15" i="2"/>
  <c r="N16" i="2"/>
  <c r="N17" i="2"/>
  <c r="N18" i="2"/>
  <c r="O18" i="2" s="1"/>
  <c r="N19" i="2"/>
  <c r="O19" i="2" s="1"/>
  <c r="N20" i="2"/>
  <c r="O20" i="2" s="1"/>
  <c r="N21" i="2"/>
  <c r="N22" i="2"/>
  <c r="N23" i="2"/>
  <c r="N24" i="2"/>
  <c r="O24" i="2" s="1"/>
  <c r="N25" i="2"/>
  <c r="N26" i="2"/>
  <c r="N27" i="2"/>
  <c r="O27" i="2" s="1"/>
  <c r="N28" i="2"/>
  <c r="O28" i="2" s="1"/>
  <c r="N29" i="2"/>
  <c r="N30" i="2"/>
  <c r="N31" i="2"/>
  <c r="N32" i="2"/>
  <c r="N12" i="2"/>
  <c r="O12" i="2" s="1"/>
  <c r="L13" i="2"/>
  <c r="M13" i="2" s="1"/>
  <c r="L14" i="2"/>
  <c r="L15" i="2"/>
  <c r="L16" i="2"/>
  <c r="M16" i="2" s="1"/>
  <c r="L17" i="2"/>
  <c r="L18" i="2"/>
  <c r="M18" i="2" s="1"/>
  <c r="L19" i="2"/>
  <c r="L20" i="2"/>
  <c r="L21" i="2"/>
  <c r="L22" i="2"/>
  <c r="M22" i="2" s="1"/>
  <c r="L23" i="2"/>
  <c r="L24" i="2"/>
  <c r="M24" i="2" s="1"/>
  <c r="L25" i="2"/>
  <c r="M25" i="2" s="1"/>
  <c r="L26" i="2"/>
  <c r="M26" i="2" s="1"/>
  <c r="L27" i="2"/>
  <c r="L28" i="2"/>
  <c r="L29" i="2"/>
  <c r="L30" i="2"/>
  <c r="L31" i="2"/>
  <c r="L32" i="2"/>
  <c r="L12" i="2"/>
  <c r="M12" i="2" s="1"/>
  <c r="J13" i="2"/>
  <c r="K13" i="2" s="1"/>
  <c r="J14" i="2"/>
  <c r="J15" i="2"/>
  <c r="J16" i="2"/>
  <c r="J17" i="2"/>
  <c r="J18" i="2"/>
  <c r="K18" i="2" s="1"/>
  <c r="J19" i="2"/>
  <c r="J20" i="2"/>
  <c r="K20" i="2" s="1"/>
  <c r="J21" i="2"/>
  <c r="J22" i="2"/>
  <c r="J23" i="2"/>
  <c r="J24" i="2"/>
  <c r="J25" i="2"/>
  <c r="K25" i="2" s="1"/>
  <c r="J26" i="2"/>
  <c r="J27" i="2"/>
  <c r="K27" i="2" s="1"/>
  <c r="J28" i="2"/>
  <c r="J29" i="2"/>
  <c r="J30" i="2"/>
  <c r="J31" i="2"/>
  <c r="J32" i="2"/>
  <c r="J12" i="2"/>
  <c r="K12" i="2" s="1"/>
  <c r="H13" i="2"/>
  <c r="H14" i="2"/>
  <c r="H15" i="2"/>
  <c r="H16" i="2"/>
  <c r="I16" i="2" s="1"/>
  <c r="H17" i="2"/>
  <c r="H18" i="2"/>
  <c r="I18" i="2" s="1"/>
  <c r="H19" i="2"/>
  <c r="I19" i="2" s="1"/>
  <c r="H20" i="2"/>
  <c r="I20" i="2" s="1"/>
  <c r="H21" i="2"/>
  <c r="H22" i="2"/>
  <c r="H23" i="2"/>
  <c r="H24" i="2"/>
  <c r="I24" i="2" s="1"/>
  <c r="H25" i="2"/>
  <c r="H26" i="2"/>
  <c r="I26" i="2" s="1"/>
  <c r="H27" i="2"/>
  <c r="I27" i="2" s="1"/>
  <c r="H28" i="2"/>
  <c r="I28" i="2" s="1"/>
  <c r="H29" i="2"/>
  <c r="H30" i="2"/>
  <c r="H31" i="2"/>
  <c r="H32" i="2"/>
  <c r="H12" i="2"/>
  <c r="I12" i="2" s="1"/>
  <c r="M28" i="2"/>
  <c r="K28" i="2"/>
  <c r="M27" i="2"/>
  <c r="O26" i="2"/>
  <c r="K26" i="2"/>
  <c r="O25" i="2"/>
  <c r="I25" i="2"/>
  <c r="K24" i="2"/>
  <c r="O23" i="2"/>
  <c r="M23" i="2"/>
  <c r="K23" i="2"/>
  <c r="I23" i="2"/>
  <c r="O22" i="2"/>
  <c r="K22" i="2"/>
  <c r="I22" i="2"/>
  <c r="O21" i="2"/>
  <c r="M21" i="2"/>
  <c r="K21" i="2"/>
  <c r="I21" i="2"/>
  <c r="M20" i="2"/>
  <c r="M19" i="2"/>
  <c r="K19" i="2"/>
  <c r="O17" i="2"/>
  <c r="M17" i="2"/>
  <c r="K17" i="2"/>
  <c r="I17" i="2"/>
  <c r="O16" i="2"/>
  <c r="K16" i="2"/>
  <c r="O15" i="2"/>
  <c r="M15" i="2"/>
  <c r="K15" i="2"/>
  <c r="I15" i="2"/>
  <c r="O14" i="2"/>
  <c r="M14" i="2"/>
  <c r="K14" i="2"/>
  <c r="I14" i="2"/>
  <c r="O13" i="2"/>
  <c r="I13" i="2"/>
  <c r="AM22" i="2"/>
  <c r="AM20" i="2"/>
  <c r="AM17" i="2"/>
  <c r="S39" i="2"/>
  <c r="S37" i="2"/>
  <c r="S34" i="2"/>
  <c r="AD55" i="2"/>
  <c r="AD53" i="2"/>
  <c r="AD50" i="2"/>
  <c r="AL38" i="2"/>
  <c r="AL36" i="2"/>
  <c r="AL33" i="2"/>
  <c r="H6" i="29" l="1"/>
  <c r="H2" i="29"/>
  <c r="M121" i="34" l="1"/>
  <c r="L121" i="34"/>
  <c r="K121" i="34"/>
  <c r="I121" i="34"/>
  <c r="K8" i="23"/>
  <c r="K9" i="23"/>
  <c r="K10" i="23"/>
  <c r="K11" i="23"/>
  <c r="K12" i="23"/>
  <c r="K13" i="23"/>
  <c r="K14" i="23"/>
  <c r="K15" i="23"/>
  <c r="K16" i="23"/>
  <c r="K17" i="23"/>
  <c r="K18" i="23"/>
  <c r="K19" i="23"/>
  <c r="K20" i="23"/>
  <c r="K21" i="23"/>
  <c r="K22" i="23"/>
  <c r="K23" i="23"/>
  <c r="K24" i="23"/>
  <c r="K7" i="23"/>
  <c r="J8" i="23"/>
  <c r="J9" i="23"/>
  <c r="J10" i="23"/>
  <c r="J11" i="23"/>
  <c r="J12" i="23"/>
  <c r="J13" i="23"/>
  <c r="J14" i="23"/>
  <c r="J15" i="23"/>
  <c r="J16" i="23"/>
  <c r="J17" i="23"/>
  <c r="J18" i="23"/>
  <c r="J19" i="23"/>
  <c r="J20" i="23"/>
  <c r="J21" i="23"/>
  <c r="J22" i="23"/>
  <c r="J23" i="23"/>
  <c r="J24" i="23"/>
  <c r="J7" i="23"/>
  <c r="I8" i="23"/>
  <c r="I9" i="23"/>
  <c r="I10" i="23"/>
  <c r="I11" i="23"/>
  <c r="I12" i="23"/>
  <c r="I13" i="23"/>
  <c r="I14" i="23"/>
  <c r="I15" i="23"/>
  <c r="I16" i="23"/>
  <c r="I17" i="23"/>
  <c r="I18" i="23"/>
  <c r="I19" i="23"/>
  <c r="I20" i="23"/>
  <c r="I21" i="23"/>
  <c r="I22" i="23"/>
  <c r="I23" i="23"/>
  <c r="I24" i="23"/>
  <c r="I7" i="23"/>
  <c r="H8" i="23"/>
  <c r="H9" i="23"/>
  <c r="H10" i="23"/>
  <c r="H11" i="23"/>
  <c r="H12" i="23"/>
  <c r="H13" i="23"/>
  <c r="H14" i="23"/>
  <c r="H15" i="23"/>
  <c r="H16" i="23"/>
  <c r="H17" i="23"/>
  <c r="H18" i="23"/>
  <c r="H19" i="23"/>
  <c r="H20" i="23"/>
  <c r="H21" i="23"/>
  <c r="H22" i="23"/>
  <c r="H23" i="23"/>
  <c r="H24" i="23"/>
  <c r="H7" i="23"/>
  <c r="G8" i="23"/>
  <c r="G9" i="23"/>
  <c r="G10" i="23"/>
  <c r="G11" i="23"/>
  <c r="G12" i="23"/>
  <c r="G13" i="23"/>
  <c r="G14" i="23"/>
  <c r="G15" i="23"/>
  <c r="G16" i="23"/>
  <c r="G17" i="23"/>
  <c r="G18" i="23"/>
  <c r="G19" i="23"/>
  <c r="G20" i="23"/>
  <c r="G21" i="23"/>
  <c r="G22" i="23"/>
  <c r="G23" i="23"/>
  <c r="G24" i="23"/>
  <c r="G7" i="23"/>
  <c r="R30" i="37"/>
  <c r="R31" i="37"/>
  <c r="R29" i="37"/>
  <c r="T31" i="37"/>
  <c r="S31" i="37"/>
  <c r="T30" i="37"/>
  <c r="S30" i="37"/>
  <c r="U29" i="37"/>
  <c r="T29" i="37"/>
  <c r="S29" i="37"/>
  <c r="U25" i="37"/>
  <c r="U26" i="37"/>
  <c r="U24" i="37"/>
  <c r="T25" i="37"/>
  <c r="T26" i="37"/>
  <c r="T24" i="37"/>
  <c r="S25" i="37"/>
  <c r="S26" i="37"/>
  <c r="S24" i="37"/>
  <c r="R25" i="37"/>
  <c r="R26" i="37"/>
  <c r="R24" i="37"/>
  <c r="T19" i="37"/>
  <c r="T20" i="37"/>
  <c r="T18" i="37"/>
  <c r="S19" i="37"/>
  <c r="S20" i="37"/>
  <c r="S18" i="37"/>
  <c r="R19" i="37"/>
  <c r="R20" i="37"/>
  <c r="R18" i="37"/>
  <c r="Q19" i="37"/>
  <c r="Q20" i="37"/>
  <c r="Q18" i="37"/>
  <c r="M120" i="37"/>
  <c r="M119" i="37"/>
  <c r="M118" i="37"/>
  <c r="M117" i="37"/>
  <c r="M116" i="37"/>
  <c r="M115" i="37"/>
  <c r="M114" i="37"/>
  <c r="M113" i="37"/>
  <c r="M112" i="37"/>
  <c r="M111" i="37"/>
  <c r="M110" i="37"/>
  <c r="M109" i="37"/>
  <c r="M108" i="37"/>
  <c r="M107" i="37"/>
  <c r="M106" i="37"/>
  <c r="M105" i="37"/>
  <c r="M104" i="37"/>
  <c r="M103" i="37"/>
  <c r="M102" i="37"/>
  <c r="M101" i="37"/>
  <c r="M100" i="37"/>
  <c r="M99" i="37"/>
  <c r="M98" i="37"/>
  <c r="M97" i="37"/>
  <c r="M96" i="37"/>
  <c r="M95" i="37"/>
  <c r="M94" i="37"/>
  <c r="M93" i="37"/>
  <c r="M92" i="37"/>
  <c r="M91" i="37"/>
  <c r="M90" i="37"/>
  <c r="M89" i="37"/>
  <c r="M88" i="37"/>
  <c r="M87" i="37"/>
  <c r="M86" i="37"/>
  <c r="M85" i="37"/>
  <c r="M84" i="37"/>
  <c r="M83" i="37"/>
  <c r="M82" i="37"/>
  <c r="M81" i="37"/>
  <c r="M80" i="37"/>
  <c r="M79" i="37"/>
  <c r="M78" i="37"/>
  <c r="M77" i="37"/>
  <c r="M76" i="37"/>
  <c r="M75" i="37"/>
  <c r="M74" i="37"/>
  <c r="M73" i="37"/>
  <c r="M72" i="37"/>
  <c r="M71" i="37"/>
  <c r="M70" i="37"/>
  <c r="M69" i="37"/>
  <c r="M68" i="37"/>
  <c r="M67" i="37"/>
  <c r="M66" i="37"/>
  <c r="M65" i="37"/>
  <c r="M64" i="37"/>
  <c r="M63" i="37"/>
  <c r="M62" i="37"/>
  <c r="M61" i="37"/>
  <c r="M60" i="37"/>
  <c r="M59" i="37"/>
  <c r="M58" i="37"/>
  <c r="M57" i="37"/>
  <c r="M56" i="37"/>
  <c r="M55" i="37"/>
  <c r="M54" i="37"/>
  <c r="M53" i="37"/>
  <c r="M52" i="37"/>
  <c r="M51" i="37"/>
  <c r="M50" i="37"/>
  <c r="M49" i="37"/>
  <c r="M48" i="37"/>
  <c r="M47" i="37"/>
  <c r="M46" i="37"/>
  <c r="M45" i="37"/>
  <c r="M44" i="37"/>
  <c r="M43" i="37"/>
  <c r="M42" i="37"/>
  <c r="M41" i="37"/>
  <c r="M40" i="37"/>
  <c r="M39" i="37"/>
  <c r="M38" i="37"/>
  <c r="M37" i="37"/>
  <c r="M36" i="37"/>
  <c r="M35" i="37"/>
  <c r="M34" i="37"/>
  <c r="M33" i="37"/>
  <c r="M32" i="37"/>
  <c r="M31" i="37"/>
  <c r="M30" i="37"/>
  <c r="M29" i="37"/>
  <c r="M28" i="37"/>
  <c r="M27" i="37"/>
  <c r="M26" i="37"/>
  <c r="M25" i="37"/>
  <c r="M24" i="37"/>
  <c r="M23" i="37"/>
  <c r="M22" i="37"/>
  <c r="M21" i="37"/>
  <c r="M20" i="37"/>
  <c r="M19" i="37"/>
  <c r="M18" i="37"/>
  <c r="M17" i="37"/>
  <c r="M16" i="37"/>
  <c r="M15" i="37"/>
  <c r="M14" i="37"/>
  <c r="M13" i="37"/>
  <c r="M12" i="37"/>
  <c r="M11" i="37"/>
  <c r="M10" i="37"/>
  <c r="M9" i="37"/>
  <c r="M8" i="37"/>
  <c r="M7" i="37"/>
  <c r="M6" i="37"/>
  <c r="M5" i="37"/>
  <c r="M4" i="37"/>
  <c r="M3" i="37"/>
  <c r="M2" i="37"/>
  <c r="C13" i="36"/>
  <c r="C6" i="36"/>
  <c r="C5" i="36"/>
  <c r="N3" i="34"/>
  <c r="N4" i="34"/>
  <c r="N5" i="34"/>
  <c r="N6" i="34"/>
  <c r="N7" i="34"/>
  <c r="N8" i="34"/>
  <c r="N9" i="34"/>
  <c r="N10" i="34"/>
  <c r="N11" i="34"/>
  <c r="N12" i="34"/>
  <c r="N13" i="34"/>
  <c r="N14" i="34"/>
  <c r="N15" i="34"/>
  <c r="N16" i="34"/>
  <c r="N17" i="34"/>
  <c r="N18" i="34"/>
  <c r="N19" i="34"/>
  <c r="N20" i="34"/>
  <c r="N21" i="34"/>
  <c r="N22" i="34"/>
  <c r="N23" i="34"/>
  <c r="N24" i="34"/>
  <c r="N25" i="34"/>
  <c r="N26" i="34"/>
  <c r="N27" i="34"/>
  <c r="N28" i="34"/>
  <c r="N29" i="34"/>
  <c r="N30" i="34"/>
  <c r="N31" i="34"/>
  <c r="N32" i="34"/>
  <c r="N33" i="34"/>
  <c r="N34" i="34"/>
  <c r="N35" i="34"/>
  <c r="N36" i="34"/>
  <c r="N37" i="34"/>
  <c r="N38" i="34"/>
  <c r="N39" i="34"/>
  <c r="N40" i="34"/>
  <c r="N41" i="34"/>
  <c r="N42" i="34"/>
  <c r="N43" i="34"/>
  <c r="N44" i="34"/>
  <c r="N45" i="34"/>
  <c r="N46" i="34"/>
  <c r="N47" i="34"/>
  <c r="N48" i="34"/>
  <c r="N49" i="34"/>
  <c r="N50" i="34"/>
  <c r="N51" i="34"/>
  <c r="N52" i="34"/>
  <c r="N53" i="34"/>
  <c r="N54" i="34"/>
  <c r="N55" i="34"/>
  <c r="N56" i="34"/>
  <c r="N57" i="34"/>
  <c r="N58" i="34"/>
  <c r="N59" i="34"/>
  <c r="N60" i="34"/>
  <c r="N61" i="34"/>
  <c r="N62" i="34"/>
  <c r="N63" i="34"/>
  <c r="N64" i="34"/>
  <c r="N65" i="34"/>
  <c r="N66" i="34"/>
  <c r="N67" i="34"/>
  <c r="N68" i="34"/>
  <c r="N69" i="34"/>
  <c r="N70" i="34"/>
  <c r="N71" i="34"/>
  <c r="N72" i="34"/>
  <c r="N73" i="34"/>
  <c r="N74" i="34"/>
  <c r="N75" i="34"/>
  <c r="N76" i="34"/>
  <c r="N77" i="34"/>
  <c r="N78" i="34"/>
  <c r="N79" i="34"/>
  <c r="N80" i="34"/>
  <c r="N81" i="34"/>
  <c r="N82" i="34"/>
  <c r="N83" i="34"/>
  <c r="N84" i="34"/>
  <c r="N85" i="34"/>
  <c r="N86" i="34"/>
  <c r="N87" i="34"/>
  <c r="N88" i="34"/>
  <c r="N89" i="34"/>
  <c r="N90" i="34"/>
  <c r="N91" i="34"/>
  <c r="N92" i="34"/>
  <c r="N93" i="34"/>
  <c r="N94" i="34"/>
  <c r="N95" i="34"/>
  <c r="N96" i="34"/>
  <c r="N97" i="34"/>
  <c r="N98" i="34"/>
  <c r="N99" i="34"/>
  <c r="N100" i="34"/>
  <c r="N101" i="34"/>
  <c r="N102" i="34"/>
  <c r="N103" i="34"/>
  <c r="N104" i="34"/>
  <c r="N105" i="34"/>
  <c r="N106" i="34"/>
  <c r="N107" i="34"/>
  <c r="N108" i="34"/>
  <c r="N109" i="34"/>
  <c r="N110" i="34"/>
  <c r="N111" i="34"/>
  <c r="N112" i="34"/>
  <c r="N113" i="34"/>
  <c r="N114" i="34"/>
  <c r="N115" i="34"/>
  <c r="N116" i="34"/>
  <c r="N117" i="34"/>
  <c r="N118" i="34"/>
  <c r="N119" i="34"/>
  <c r="N120" i="34"/>
  <c r="N2" i="34"/>
  <c r="R10" i="37"/>
  <c r="F13" i="36"/>
  <c r="D13" i="36"/>
  <c r="F12" i="36"/>
  <c r="F6" i="36"/>
  <c r="F5" i="36"/>
  <c r="F4" i="36"/>
  <c r="D6" i="36"/>
  <c r="D5" i="36"/>
  <c r="U30" i="37" l="1"/>
  <c r="U31" i="37"/>
  <c r="E13" i="36"/>
  <c r="E5" i="36"/>
  <c r="E6" i="36"/>
  <c r="E8" i="36" l="1"/>
  <c r="F100" i="3" l="1"/>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99" i="3"/>
  <c r="C19" i="30"/>
  <c r="C23" i="30"/>
  <c r="H3" i="30"/>
  <c r="H7" i="30"/>
  <c r="H5" i="30"/>
  <c r="H6" i="30"/>
  <c r="C20" i="30"/>
  <c r="H4" i="30"/>
  <c r="H8" i="30"/>
  <c r="C21" i="30"/>
  <c r="C22" i="30"/>
  <c r="H2" i="30"/>
  <c r="C19" i="29"/>
  <c r="C20" i="29"/>
  <c r="H4" i="29"/>
  <c r="H8" i="29"/>
  <c r="C21" i="29"/>
  <c r="H5" i="29"/>
  <c r="C22" i="29"/>
  <c r="C23" i="29"/>
  <c r="H3" i="29"/>
  <c r="H7" i="29"/>
  <c r="C19" i="28"/>
  <c r="C23" i="28"/>
  <c r="H2" i="28"/>
  <c r="H6" i="28"/>
  <c r="C25" i="28"/>
  <c r="H8" i="28"/>
  <c r="C22" i="28"/>
  <c r="H5" i="28"/>
  <c r="C20" i="28"/>
  <c r="C24" i="28"/>
  <c r="H3" i="28"/>
  <c r="H7" i="28"/>
  <c r="C21" i="28"/>
  <c r="H4" i="28"/>
  <c r="C26" i="28"/>
  <c r="C19" i="27"/>
  <c r="C23" i="27"/>
  <c r="H3" i="27"/>
  <c r="H7" i="27"/>
  <c r="C20" i="27"/>
  <c r="H4" i="27"/>
  <c r="H8" i="27"/>
  <c r="C21" i="27"/>
  <c r="H5" i="27"/>
  <c r="C22" i="27"/>
  <c r="H2" i="27"/>
  <c r="H6" i="27"/>
  <c r="D22" i="30" l="1"/>
  <c r="D20" i="30"/>
  <c r="E19" i="30"/>
  <c r="D23" i="30"/>
  <c r="E23" i="30"/>
  <c r="E22" i="30"/>
  <c r="E20" i="30"/>
  <c r="D19" i="30"/>
  <c r="D21" i="30"/>
  <c r="E21" i="30"/>
  <c r="D23" i="29"/>
  <c r="D21" i="29"/>
  <c r="D19" i="29"/>
  <c r="D22" i="29"/>
  <c r="E23" i="29"/>
  <c r="E21" i="29"/>
  <c r="E19" i="29"/>
  <c r="D20" i="29"/>
  <c r="E20" i="29"/>
  <c r="E22" i="29"/>
  <c r="D26" i="28"/>
  <c r="D24" i="28"/>
  <c r="D22" i="28"/>
  <c r="D23" i="28"/>
  <c r="D20" i="28"/>
  <c r="E21" i="28"/>
  <c r="E25" i="28"/>
  <c r="E26" i="28"/>
  <c r="E24" i="28"/>
  <c r="E22" i="28"/>
  <c r="E23" i="28"/>
  <c r="D21" i="28"/>
  <c r="D25" i="28"/>
  <c r="D19" i="28"/>
  <c r="E20" i="28"/>
  <c r="E19" i="28"/>
  <c r="D20" i="27"/>
  <c r="E22" i="27"/>
  <c r="E21" i="27"/>
  <c r="D23" i="27"/>
  <c r="D21" i="27"/>
  <c r="E23" i="27"/>
  <c r="D22" i="27"/>
  <c r="D19" i="27"/>
  <c r="E20" i="27"/>
  <c r="E19"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A94366-2933-4397-83D1-647630E47AA4}"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2" xr16:uid="{D9209C59-AE73-4C83-85C6-DBE4B84CE75D}" keepAlive="1" name="Query - Sales" description="Connection to the 'Sales' query in the workbook." type="5" refreshedVersion="0" background="1">
    <dbPr connection="Provider=Microsoft.Mashup.OleDb.1;Data Source=$Workbook$;Location=Sales;Extended Properties=&quot;&quot;" command="SELECT * FROM [Sales]"/>
  </connection>
</connections>
</file>

<file path=xl/sharedStrings.xml><?xml version="1.0" encoding="utf-8"?>
<sst xmlns="http://schemas.openxmlformats.org/spreadsheetml/2006/main" count="1606" uniqueCount="446">
  <si>
    <t>Year</t>
  </si>
  <si>
    <t>Product</t>
  </si>
  <si>
    <r>
      <rPr>
        <b/>
        <sz val="10"/>
        <rFont val="Arial"/>
        <family val="2"/>
      </rPr>
      <t xml:space="preserve">Annual </t>
    </r>
    <r>
      <rPr>
        <b/>
        <u/>
        <sz val="10"/>
        <rFont val="Arial"/>
        <family val="2"/>
      </rPr>
      <t>Revenue</t>
    </r>
  </si>
  <si>
    <r>
      <rPr>
        <b/>
        <sz val="10"/>
        <rFont val="Arial"/>
        <family val="2"/>
      </rPr>
      <t xml:space="preserve">Annual </t>
    </r>
    <r>
      <rPr>
        <b/>
        <u/>
        <sz val="10"/>
        <rFont val="Arial"/>
        <family val="2"/>
      </rPr>
      <t>Profit</t>
    </r>
  </si>
  <si>
    <r>
      <rPr>
        <b/>
        <sz val="10"/>
        <rFont val="Arial"/>
        <family val="2"/>
      </rPr>
      <t xml:space="preserve">Segment Market </t>
    </r>
    <r>
      <rPr>
        <b/>
        <u/>
        <sz val="10"/>
        <rFont val="Arial"/>
        <family val="2"/>
      </rPr>
      <t>Share</t>
    </r>
  </si>
  <si>
    <t>Product 1</t>
  </si>
  <si>
    <t>Product 2</t>
  </si>
  <si>
    <t>Product 3</t>
  </si>
  <si>
    <t>Product 4</t>
  </si>
  <si>
    <t>Product 5</t>
  </si>
  <si>
    <t>Soda</t>
  </si>
  <si>
    <t>Coffee</t>
  </si>
  <si>
    <t>Specialty Coffee</t>
  </si>
  <si>
    <t>Cookies</t>
  </si>
  <si>
    <t>You have been hired to forecast sales for the next 3 years.</t>
  </si>
  <si>
    <t>Monthly</t>
  </si>
  <si>
    <t>The following data are the monthly profit from the different products sold at Rhiney Coffee Shop.</t>
  </si>
  <si>
    <t>Period</t>
  </si>
  <si>
    <t>a.  Indicate and explain which method would be best to use to conduct a forecast for each product. (15 points)</t>
  </si>
  <si>
    <t>Cookie (10 points)</t>
  </si>
  <si>
    <t>Coffee (5 points)</t>
  </si>
  <si>
    <t>Specialty (5 points)</t>
  </si>
  <si>
    <t>b.  Provide an appropriate forecast for each product. (30 points)</t>
  </si>
  <si>
    <t>c.  Provide a writeup including visualizations and recommendations. (5 points)</t>
  </si>
  <si>
    <t>Unit Cost</t>
  </si>
  <si>
    <t>Soap A</t>
  </si>
  <si>
    <t>Price</t>
  </si>
  <si>
    <t>Age</t>
  </si>
  <si>
    <t>Soap Ingredience</t>
  </si>
  <si>
    <t>Soap Fragrance</t>
  </si>
  <si>
    <t>Color Options</t>
  </si>
  <si>
    <t>Income</t>
  </si>
  <si>
    <t>Code</t>
  </si>
  <si>
    <t>Income Categories</t>
  </si>
  <si>
    <t>Age Categories</t>
  </si>
  <si>
    <t>Soap Ingredience 
(7-point Importance Scale)</t>
  </si>
  <si>
    <t>Soap Fragrance 
(7-point Importance Scale)</t>
  </si>
  <si>
    <t>&lt;$21K</t>
  </si>
  <si>
    <t>&lt;20 yrs old</t>
  </si>
  <si>
    <t>Not at all Important</t>
  </si>
  <si>
    <t>$21K - 34K</t>
  </si>
  <si>
    <t>20 - 29 yrs old</t>
  </si>
  <si>
    <t>$35K - 49K</t>
  </si>
  <si>
    <t>30 - 39 yrs old</t>
  </si>
  <si>
    <t>$50K - 74K</t>
  </si>
  <si>
    <t>40 - 49 yrs old</t>
  </si>
  <si>
    <t>$75K - 99K</t>
  </si>
  <si>
    <t>50 - 59 yrs old</t>
  </si>
  <si>
    <t>$100K - 125K</t>
  </si>
  <si>
    <t>60 - 69 yrs old</t>
  </si>
  <si>
    <t>Over $125K</t>
  </si>
  <si>
    <t>70 or over</t>
  </si>
  <si>
    <t>Soap B</t>
  </si>
  <si>
    <t>F</t>
  </si>
  <si>
    <t>Fragrance</t>
  </si>
  <si>
    <t>Color</t>
  </si>
  <si>
    <t>Gender</t>
  </si>
  <si>
    <t>Soap Units Purchased</t>
  </si>
  <si>
    <t>Soap Purchased</t>
  </si>
  <si>
    <t>Complete the following on the data:</t>
  </si>
  <si>
    <t xml:space="preserve">      at least five table, charts, graphs or other data visualizations to highlight findings in the data. </t>
  </si>
  <si>
    <t>a.  Create a dashboard highlighting general descriptive insights.  This should include</t>
  </si>
  <si>
    <t>c.  Do a write-up of your dashboard which should:</t>
  </si>
  <si>
    <t>- report aggregate information regarding the Product portfolio of the company</t>
  </si>
  <si>
    <t>- report and provide recommendations comparing products</t>
  </si>
  <si>
    <t>Using the following data to create at least five table, charts, graphs or other data visualizations to highlight findings in the data. (25 points)</t>
  </si>
  <si>
    <t xml:space="preserve">  Product 1</t>
  </si>
  <si>
    <t xml:space="preserve">Product 2    </t>
  </si>
  <si>
    <t xml:space="preserve">  Product 2</t>
  </si>
  <si>
    <t xml:space="preserve">Product 3   </t>
  </si>
  <si>
    <t xml:space="preserve">   Product 4</t>
  </si>
  <si>
    <t xml:space="preserve">Product 5    </t>
  </si>
  <si>
    <t xml:space="preserve">  Product 5</t>
  </si>
  <si>
    <t xml:space="preserve">1.  See if age, income, Importance of Soap Ingrediance, Importance of Fragrance, </t>
  </si>
  <si>
    <t>2. Add an interaction to your analysis (5 points)</t>
  </si>
  <si>
    <t>3. Interpret results and provide a recommendation. (5 points)</t>
  </si>
  <si>
    <t>Lotion Purchased</t>
  </si>
  <si>
    <t>c.  She would like for you to provide some analysis of the data:</t>
  </si>
  <si>
    <t>a.  Use Power Query/BI to prepare the data for analysis by cleaning and combining the two data sets. (10 points)</t>
  </si>
  <si>
    <t>3.  Compare profit of optimal price to a relatively low and a high price points for Soap A. (5 points)
4.  Prepare a writeup of your conclusions (3 points)</t>
  </si>
  <si>
    <t>1.  Elasticity for Soap B. (5 points)</t>
  </si>
  <si>
    <t>1.  Determine what percent of lotion sales is derived from the sell of Soap B. (5 points)</t>
  </si>
  <si>
    <t xml:space="preserve">3.  Calculate the optimal price point of Soap B and derived demand of lotion (using elasticity of lotion) </t>
  </si>
  <si>
    <t>b.  Conduct a regression analysis: (20 points)</t>
  </si>
  <si>
    <t>3.  Recalculate the optimal price point of Soap B and derived demand of lotion to maximize overall profit,</t>
  </si>
  <si>
    <t xml:space="preserve">      if elasticity of demand for lotion is 0.74. (5 points)</t>
  </si>
  <si>
    <t>M</t>
  </si>
  <si>
    <t xml:space="preserve">   F</t>
  </si>
  <si>
    <t xml:space="preserve"> M</t>
  </si>
  <si>
    <t xml:space="preserve">    F</t>
  </si>
  <si>
    <t xml:space="preserve">F   </t>
  </si>
  <si>
    <t>Female</t>
  </si>
  <si>
    <t>Male</t>
  </si>
  <si>
    <t xml:space="preserve">  F</t>
  </si>
  <si>
    <t xml:space="preserve">  M</t>
  </si>
  <si>
    <t>d.  Help the owner understand how to leverage derived demand (complimetary)</t>
  </si>
  <si>
    <t xml:space="preserve">2.  Calculate the optimal price point of Soap B and derived demand of lotion (using percent of soap sales </t>
  </si>
  <si>
    <t>Guarantee?</t>
  </si>
  <si>
    <t>Rank</t>
  </si>
  <si>
    <t>No</t>
  </si>
  <si>
    <t>Yes</t>
  </si>
  <si>
    <t>Very 
Important</t>
  </si>
  <si>
    <t>CUSTOMER PROFILE DATA</t>
  </si>
  <si>
    <t>Customer ID</t>
  </si>
  <si>
    <t>45201-2212-157</t>
  </si>
  <si>
    <t>45201-2213-199</t>
  </si>
  <si>
    <t>45201-2214-203</t>
  </si>
  <si>
    <t>45201-2215-296</t>
  </si>
  <si>
    <t>45202-2216-44</t>
  </si>
  <si>
    <t>45202-2217-194</t>
  </si>
  <si>
    <t>45203-2218-62</t>
  </si>
  <si>
    <t>45203-2219-73</t>
  </si>
  <si>
    <t>45203-2220-83</t>
  </si>
  <si>
    <t>45203-2221-192</t>
  </si>
  <si>
    <t>45203-2222-249</t>
  </si>
  <si>
    <t>45204-2223-82</t>
  </si>
  <si>
    <t>45204-2224-209</t>
  </si>
  <si>
    <t>45204-2225-284</t>
  </si>
  <si>
    <t>45205-2226-52</t>
  </si>
  <si>
    <t>45205-2227-138</t>
  </si>
  <si>
    <t>45205-2228-237</t>
  </si>
  <si>
    <t>45205-2229-260</t>
  </si>
  <si>
    <t>45206-2230-51</t>
  </si>
  <si>
    <t>45206-2231-82</t>
  </si>
  <si>
    <t>45206-2232-230</t>
  </si>
  <si>
    <t>45207-2233-2</t>
  </si>
  <si>
    <t>45207-2234-78</t>
  </si>
  <si>
    <t>45207-2235-94</t>
  </si>
  <si>
    <t>45207-2236-133</t>
  </si>
  <si>
    <t>45207-2237-204</t>
  </si>
  <si>
    <t>45207-2238-240</t>
  </si>
  <si>
    <t>45207-2239-248</t>
  </si>
  <si>
    <t>45207-2240-276</t>
  </si>
  <si>
    <t>45208-2241-30</t>
  </si>
  <si>
    <t>45208-2242-148</t>
  </si>
  <si>
    <t>45208-2243-152</t>
  </si>
  <si>
    <t>45209-2244-55</t>
  </si>
  <si>
    <t>45209-2245-100</t>
  </si>
  <si>
    <t>45209-2246-128</t>
  </si>
  <si>
    <t>45209-2247-137</t>
  </si>
  <si>
    <t>45209-2248-139</t>
  </si>
  <si>
    <t>45209-2249-199</t>
  </si>
  <si>
    <t>45209-2250-238</t>
  </si>
  <si>
    <t>45209-2251-249</t>
  </si>
  <si>
    <t>45209-2252-276</t>
  </si>
  <si>
    <t>45210-2253-154</t>
  </si>
  <si>
    <t>45210-2254-178</t>
  </si>
  <si>
    <t>45211-2255-53</t>
  </si>
  <si>
    <t>45211-2256-89</t>
  </si>
  <si>
    <t>45211-2257-93</t>
  </si>
  <si>
    <t>45211-2258-130</t>
  </si>
  <si>
    <t>45211-2259-227</t>
  </si>
  <si>
    <t>45211-2260-231</t>
  </si>
  <si>
    <t>45212-2261-75</t>
  </si>
  <si>
    <t>45212-2262-120</t>
  </si>
  <si>
    <t>45212-2263-141</t>
  </si>
  <si>
    <t>45212-2264-249</t>
  </si>
  <si>
    <t>45213-2265-25</t>
  </si>
  <si>
    <t>45213-2266-128</t>
  </si>
  <si>
    <t>45213-2267-203</t>
  </si>
  <si>
    <t>45213-2268-277</t>
  </si>
  <si>
    <t>45214-2269-91</t>
  </si>
  <si>
    <t>45214-2270-154</t>
  </si>
  <si>
    <t>45214-2271-163</t>
  </si>
  <si>
    <t>45215-2272-12</t>
  </si>
  <si>
    <t>45215-2273-99</t>
  </si>
  <si>
    <t>45215-2274-151</t>
  </si>
  <si>
    <t>45215-2275-168</t>
  </si>
  <si>
    <t>45215-2276-246</t>
  </si>
  <si>
    <t>45216-2277-28</t>
  </si>
  <si>
    <t>45216-2278-53</t>
  </si>
  <si>
    <t>45216-2279-90</t>
  </si>
  <si>
    <t>45216-2280-165</t>
  </si>
  <si>
    <t>45217-2281-37</t>
  </si>
  <si>
    <t>45217-2282-66</t>
  </si>
  <si>
    <t>45217-2283-259</t>
  </si>
  <si>
    <t>45218-2284-14</t>
  </si>
  <si>
    <t>45218-2285-26</t>
  </si>
  <si>
    <t>45218-2286-60</t>
  </si>
  <si>
    <t>45218-2287-130</t>
  </si>
  <si>
    <t>45218-2288-174</t>
  </si>
  <si>
    <t>45218-2289-280</t>
  </si>
  <si>
    <t>45218-2290-284</t>
  </si>
  <si>
    <t>45219-2291-56</t>
  </si>
  <si>
    <t>45219-2292-68</t>
  </si>
  <si>
    <t>45219-2293-267</t>
  </si>
  <si>
    <t>45219-2294-268</t>
  </si>
  <si>
    <t>45219-2295-288</t>
  </si>
  <si>
    <t>45220-2296-111</t>
  </si>
  <si>
    <t>45220-2297-281</t>
  </si>
  <si>
    <t>45221-2298-69</t>
  </si>
  <si>
    <t>45221-2299-140</t>
  </si>
  <si>
    <t>45221-2300-205</t>
  </si>
  <si>
    <t>45222-2301-35</t>
  </si>
  <si>
    <t>45222-2302-83</t>
  </si>
  <si>
    <t>45222-2303-91</t>
  </si>
  <si>
    <t>45222-2304-154</t>
  </si>
  <si>
    <t>45222-2305-239</t>
  </si>
  <si>
    <t>45222-2306-255</t>
  </si>
  <si>
    <t>45223-2307-31</t>
  </si>
  <si>
    <t>45223-2308-71</t>
  </si>
  <si>
    <t>45223-2309-142</t>
  </si>
  <si>
    <t>45224-2310-115</t>
  </si>
  <si>
    <t>45225-2311-52</t>
  </si>
  <si>
    <t>45225-2312-75</t>
  </si>
  <si>
    <t>45225-2313-256</t>
  </si>
  <si>
    <t>45226-2314-10</t>
  </si>
  <si>
    <t>45226-2315-121</t>
  </si>
  <si>
    <t>45226-2316-180</t>
  </si>
  <si>
    <t>45226-2317-268</t>
  </si>
  <si>
    <t>45226-2318-274</t>
  </si>
  <si>
    <t>45227-2319-225</t>
  </si>
  <si>
    <t>45228-2320-45</t>
  </si>
  <si>
    <t>45228-2321-160</t>
  </si>
  <si>
    <t>45228-2322-190</t>
  </si>
  <si>
    <t>45228-2323-191</t>
  </si>
  <si>
    <t>45228-2324-297</t>
  </si>
  <si>
    <t>45229-2325-64</t>
  </si>
  <si>
    <t>45229-2326-67</t>
  </si>
  <si>
    <t>45229-2327-99</t>
  </si>
  <si>
    <t>45229-2328-129</t>
  </si>
  <si>
    <t>45229-2329-172</t>
  </si>
  <si>
    <t>PURCHASE DATA</t>
  </si>
  <si>
    <t>Purchase Date-Purchase No-Cust ID</t>
  </si>
  <si>
    <t>Sales Price</t>
  </si>
  <si>
    <t>Ingredience</t>
  </si>
  <si>
    <t>White</t>
  </si>
  <si>
    <t>Natural</t>
  </si>
  <si>
    <t>Lavender</t>
  </si>
  <si>
    <t>Mint</t>
  </si>
  <si>
    <t>Non-fragrant</t>
  </si>
  <si>
    <t>Shea Butter</t>
  </si>
  <si>
    <t>Cocoa Butter</t>
  </si>
  <si>
    <t>Coconut Butter</t>
  </si>
  <si>
    <t>The next worksheets contain data of customers and sales for the past months of All Natural Soaps &amp; Lotion.  The owner sells two types of soaps and has experimented with selling each at different price points through Amazon.  Soap A is a considered a basic soap while Soap B is a deluxe version.  There are two sets of data.  The 'Soap Sales' data is information about sales for October.  'Soap Customer Profiles' is data about each customer and includes  customer's age, and customer's income.  Currently, bottles of lotion sell for $3.25 and cost $0.75 to produce.  It has been determined that elasticity of demand for the lotion is 2.31.</t>
  </si>
  <si>
    <t xml:space="preserve">     Type of Soap (A vs B) and Importance of Color are related to sales. (5 points)</t>
  </si>
  <si>
    <t>2.  Optimal price point to maximize profit for Soap B. (5 points)</t>
  </si>
  <si>
    <t xml:space="preserve">      to maximize overall profit. (5 points)</t>
  </si>
  <si>
    <t>Soda (5 points)</t>
  </si>
  <si>
    <t>The owner of the Natural Soap Company asked you to help determine what three new soaps to produce combining fragrance (Lavender, Mint, or Non-fragrant), ingredient (Shea, Cocoa, or Coconut), and color (white or natural color).  These soaps will be part of the deluxe line and will be priced at $2.50, $3.00, or $3.50 and the owner is considering including an overnight deliver guarantee.  
You have conducted a conjoint research study and have the rank averages below with 1 representing the most preferred.
Conduct a conjoint analysis on the following data: (25 points)
   - Analyze results and prepare a writeup.
   - Determine whether or not the design is orthogonal.</t>
  </si>
  <si>
    <t>Forecast(Cookies)</t>
  </si>
  <si>
    <t>Lower Confidence Bound(Cookies)</t>
  </si>
  <si>
    <t>Upper Confidence Bound(Cookies)</t>
  </si>
  <si>
    <t>Statistic</t>
  </si>
  <si>
    <t>Value</t>
  </si>
  <si>
    <t>Alpha</t>
  </si>
  <si>
    <t>Beta</t>
  </si>
  <si>
    <t>Gamma</t>
  </si>
  <si>
    <t>MASE</t>
  </si>
  <si>
    <t>SMAPE</t>
  </si>
  <si>
    <t>MAE</t>
  </si>
  <si>
    <t>RMSE</t>
  </si>
  <si>
    <t>Forecast(Soda)</t>
  </si>
  <si>
    <t>Lower Confidence Bound(Soda)</t>
  </si>
  <si>
    <t>Upper Confidence Bound(Soda)</t>
  </si>
  <si>
    <t>Forecast(Coffee)</t>
  </si>
  <si>
    <t>Lower Confidence Bound(Coffee)</t>
  </si>
  <si>
    <t>Upper Confidence Bound(Coffee)</t>
  </si>
  <si>
    <t>Forecast(Specialty Coffee)</t>
  </si>
  <si>
    <t>Lower Confidence Bound(Specialty Coffee)</t>
  </si>
  <si>
    <t>Upper Confidence Bound(Specialty Coffee)</t>
  </si>
  <si>
    <t>Row Labels</t>
  </si>
  <si>
    <t>Grand Total</t>
  </si>
  <si>
    <t>Sum of Annual Revenue</t>
  </si>
  <si>
    <t>Sum of Annual Profit</t>
  </si>
  <si>
    <t>Average of Segment Market Share</t>
  </si>
  <si>
    <t>Summary Table</t>
  </si>
  <si>
    <t>Column Labels</t>
  </si>
  <si>
    <t>Annual Revenue</t>
  </si>
  <si>
    <t>Annual Profit</t>
  </si>
  <si>
    <t>Segment Market Share</t>
  </si>
  <si>
    <t>Profit Margin</t>
  </si>
  <si>
    <t>Average of Profit Margin</t>
  </si>
  <si>
    <t>Purchase_Date</t>
  </si>
  <si>
    <t>Purchase_No</t>
  </si>
  <si>
    <t>Cust_ID</t>
  </si>
  <si>
    <t>Average</t>
  </si>
  <si>
    <t>Soap Purchase_ID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</si>
  <si>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</si>
  <si>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</si>
  <si>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</si>
  <si>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</si>
  <si>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</si>
  <si>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</si>
  <si>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</si>
  <si>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</si>
  <si>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</si>
  <si>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</si>
  <si>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</si>
  <si>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</si>
  <si>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</si>
  <si>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</si>
  <si>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</si>
  <si>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Significance F</t>
  </si>
  <si>
    <t>Coefficients</t>
  </si>
  <si>
    <t>t Stat</t>
  </si>
  <si>
    <t>P-value</t>
  </si>
  <si>
    <t>Lower 95%</t>
  </si>
  <si>
    <t>Upper 95%</t>
  </si>
  <si>
    <t>Lower 95.0%</t>
  </si>
  <si>
    <t>Upper 95.0%</t>
  </si>
  <si>
    <t>RESIDUAL OUTPUT</t>
  </si>
  <si>
    <t>Observation</t>
  </si>
  <si>
    <t>Predicted Sales Price</t>
  </si>
  <si>
    <t>Residuals</t>
  </si>
  <si>
    <t>Sum of Soap Units Purchased</t>
  </si>
  <si>
    <t>Quantity Sold</t>
  </si>
  <si>
    <t>Change in Price</t>
  </si>
  <si>
    <t>Change in Quantity</t>
  </si>
  <si>
    <t>Elasticity</t>
  </si>
  <si>
    <t>Average Elasticity</t>
  </si>
  <si>
    <t>Profit</t>
  </si>
  <si>
    <t>Maximum Profit</t>
  </si>
  <si>
    <t>Sum of Lotion Purchased</t>
  </si>
  <si>
    <t>% of Lotion</t>
  </si>
  <si>
    <t>Lotion Quantity</t>
  </si>
  <si>
    <t>Profit Soap B</t>
  </si>
  <si>
    <t>Profit Lotion</t>
  </si>
  <si>
    <t>Total Profit</t>
  </si>
  <si>
    <t>Optimal Price  using % of Lotion</t>
  </si>
  <si>
    <t>Base Lotion Qty</t>
  </si>
  <si>
    <t>Lotion Qty Adjusted</t>
  </si>
  <si>
    <t>Optimal Price  using Elasticity</t>
  </si>
  <si>
    <t>Optimal Price when Elasticity =0.74</t>
  </si>
  <si>
    <t>Attribute</t>
  </si>
  <si>
    <t>Levels</t>
  </si>
  <si>
    <t>Effects Coding</t>
  </si>
  <si>
    <t>Lavender, Mint, Non-fragrant</t>
  </si>
  <si>
    <t>Lavender = 1, Mint = 0, Non-fragrant = -1</t>
  </si>
  <si>
    <t>Ingredient</t>
  </si>
  <si>
    <t>Shea Butter, Cocoa Butter, Coconut Butter</t>
  </si>
  <si>
    <t>Shea = 1, Cocoa = 0, Coconut = -1</t>
  </si>
  <si>
    <t>$2.50, $3.00, $3.50</t>
  </si>
  <si>
    <t>$2.50 = 1, $3.00 = 0, $3.50 = -1</t>
  </si>
  <si>
    <t>Guarantee</t>
  </si>
  <si>
    <t>Yes, No</t>
  </si>
  <si>
    <t>Yes = 1, No = -1</t>
  </si>
  <si>
    <t>White, Natural</t>
  </si>
  <si>
    <t>White = 1, Natural = -1</t>
  </si>
  <si>
    <t>Frag_code</t>
  </si>
  <si>
    <t>Ing_code</t>
  </si>
  <si>
    <t>Price_code</t>
  </si>
  <si>
    <t>Gaurantee_code</t>
  </si>
  <si>
    <t>Colour_code</t>
  </si>
  <si>
    <t>Cojoint Analysis Results</t>
  </si>
  <si>
    <t>Levels (coded)</t>
  </si>
  <si>
    <t>Part-worth Utility (Coefficient)</t>
  </si>
  <si>
    <t>Interpretation</t>
  </si>
  <si>
    <t>Higher fragrance preference significantly increases utility (p &lt; 0.05).</t>
  </si>
  <si>
    <t>No significant impact (p &gt; 0.05).</t>
  </si>
  <si>
    <t>–3.83</t>
  </si>
  <si>
    <t>Strong negative effect – as price increases, preference drops significantly (p &lt; 0.01).</t>
  </si>
  <si>
    <t>Guarantee_code</t>
  </si>
  <si>
    <t>Not significant (p &gt; 0.05).</t>
  </si>
  <si>
    <t>–2.25</t>
  </si>
  <si>
    <t>Significant negative effect – White color is less preferred than Natural (p &lt; 0.05).</t>
  </si>
  <si>
    <t>Explicit Recommendation for the 3 soaps:</t>
  </si>
  <si>
    <t>Soap #</t>
  </si>
  <si>
    <t>Justification</t>
  </si>
  <si>
    <t>Rank = 3, aligns with top utilities</t>
  </si>
  <si>
    <t>Rank = 2, strong fragrance preference</t>
  </si>
  <si>
    <t>Rank = 1, low price, preferred ingredient</t>
  </si>
  <si>
    <t>Utility Based Prediction:</t>
  </si>
  <si>
    <t>Balance Table:</t>
  </si>
  <si>
    <t>Frequency</t>
  </si>
  <si>
    <t>Lavender (6), Mint (6), Non-fragrant (6)</t>
  </si>
  <si>
    <t>Balanced</t>
  </si>
  <si>
    <t>Shea (6), Cocoa (6), Coconut (6)</t>
  </si>
  <si>
    <t>$2.50 (6), $3.00 (6), $3.50 (6)</t>
  </si>
  <si>
    <t>Yes (12), No (6)</t>
  </si>
  <si>
    <t>Slight imbalance</t>
  </si>
  <si>
    <t>White (6), Natural (12)</t>
  </si>
  <si>
    <t>Based on the conjoint analysis, the Natural Soap Company should prioritize soaps with Mint fragrance, Coconut Butter, and Natural color at a $2.50 price point. These combinations offer the highest consumer utility and align with affordability and aesthetic preferences. Guarantee inclusion does not significantly impact preference, so it may be used selectively for marketing.</t>
  </si>
  <si>
    <t>For Mint + Coconut + $2.50 + Yes + Natural: Utility = Intercept + (Fragrance=0) + (Ingredient=–1×0.75) + (Price=1×–3.83) + (Guarantee=1×0.75) + (Color=–1×–2.25) = 8.5 + 0 – 0.75 – 3.83 + 0.75 + 2.25 = 6.92</t>
  </si>
  <si>
    <t>This shows how utility scores align with rank preferences.</t>
  </si>
  <si>
    <t>1.  In the space below, discuss the process of conducting data analytics.  (5 points)</t>
  </si>
  <si>
    <t>3.  In the space below, choose three analytics, covered so far, and briefly discuss how each might be utilized to help an organization that has an objective to improve customer satisfaction over the next year.  (5 points)</t>
  </si>
  <si>
    <t>Details for Average of Profit Margin</t>
  </si>
  <si>
    <t>Squared Error</t>
  </si>
  <si>
    <t>Soda Forecast</t>
  </si>
  <si>
    <t>Coffee Forecast</t>
  </si>
  <si>
    <t>Specialty Coffee forecast</t>
  </si>
  <si>
    <t>For Soda</t>
  </si>
  <si>
    <t>L</t>
  </si>
  <si>
    <t>a</t>
  </si>
  <si>
    <t>b</t>
  </si>
  <si>
    <t>SSE</t>
  </si>
  <si>
    <t>Upper Limit</t>
  </si>
  <si>
    <t>Inflection Point</t>
  </si>
  <si>
    <t>For Coffee</t>
  </si>
  <si>
    <t>For Cookies</t>
  </si>
  <si>
    <t xml:space="preserve">Cookies Forecast </t>
  </si>
  <si>
    <t>Recommended Method</t>
  </si>
  <si>
    <t>Parameter Values</t>
  </si>
  <si>
    <t>SSE (Fit Quality)</t>
  </si>
  <si>
    <t>Model Suitability</t>
  </si>
  <si>
    <t>Pearl Curve</t>
  </si>
  <si>
    <t>L = 711.14, a = 23.99, b = 0.50</t>
  </si>
  <si>
    <t>0.0000608 (very low)</t>
  </si>
  <si>
    <t>Excellent fit; follows classic S-curve. Ideal for forecasting future cookie sales.</t>
  </si>
  <si>
    <t>Pearl Curve (with caution)</t>
  </si>
  <si>
    <t>L = 3894.23, a = 0.31, b = 0.07</t>
  </si>
  <si>
    <t>1,499,684.95 (very high)</t>
  </si>
  <si>
    <t>Model struggles with volatility; may need refinement or alternative methods.</t>
  </si>
  <si>
    <t>Pearl Curve (Set 1 preferred)</t>
  </si>
  <si>
    <t>Set 1: L = 10,796.67, a = 1.39, b = 0.08&lt;br&gt;Set 2: L = 10,075.66, a = 29.78, b = 0.27</t>
  </si>
  <si>
    <t>Set 1: 68,109.95&lt;br&gt;Set 2: 394,819.94</t>
  </si>
  <si>
    <t>Set 1 is better; still shows instability. Pearl Curve usable but not ideal.</t>
  </si>
  <si>
    <t>ARIMA / Nonlinear Trend</t>
  </si>
  <si>
    <t>—</t>
  </si>
  <si>
    <t>Highly erratic sales; Pearl Curve not suitable. Time series models recommended.</t>
  </si>
  <si>
    <t>Summary Recommendation</t>
  </si>
  <si>
    <r>
      <t>Cookies</t>
    </r>
    <r>
      <rPr>
        <sz val="11"/>
        <color theme="1"/>
        <rFont val="Calibri"/>
        <family val="2"/>
        <scheme val="minor"/>
      </rPr>
      <t>: Pearl Curve is highly effective and reliable.</t>
    </r>
  </si>
  <si>
    <r>
      <t>Soda</t>
    </r>
    <r>
      <rPr>
        <sz val="11"/>
        <color theme="1"/>
        <rFont val="Calibri"/>
        <family val="2"/>
        <scheme val="minor"/>
      </rPr>
      <t>: Pearl Curve can be used but requires adjustment due to data irregularities.</t>
    </r>
  </si>
  <si>
    <r>
      <t>Coffee</t>
    </r>
    <r>
      <rPr>
        <sz val="11"/>
        <color theme="1"/>
        <rFont val="Calibri"/>
        <family val="2"/>
        <scheme val="minor"/>
      </rPr>
      <t>: Pearl Curve is acceptable with Set 1, but alternative models may improve accuracy.</t>
    </r>
  </si>
  <si>
    <r>
      <t>Specialty Coffee</t>
    </r>
    <r>
      <rPr>
        <sz val="11"/>
        <color theme="1"/>
        <rFont val="Calibri"/>
        <family val="2"/>
        <scheme val="minor"/>
      </rPr>
      <t>: Use ARIMA or nonlinear models for better handling of unpredictable trends.</t>
    </r>
  </si>
  <si>
    <t>Sales Forecasting Analysis — Rhiney Coffee Shop</t>
  </si>
  <si>
    <t>Model Parameters</t>
  </si>
  <si>
    <t>Forecast Summary</t>
  </si>
  <si>
    <t>Strong fit with steady growth. Sales expected to plateau near 711 units.</t>
  </si>
  <si>
    <t>Erratic sales pattern. Model struggles to capture volatility; inflection point is negative.</t>
  </si>
  <si>
    <t>L = 10,796.67, a = 1.39, b = 0.08</t>
  </si>
  <si>
    <t>Consistent growth with a projected ceiling near 10,796 units. Moderate fit.</t>
  </si>
  <si>
    <t>L = 10,075.66, a = 29.78, b = 0.27</t>
  </si>
  <si>
    <t>Rapid growth with strong potential. Inflection point at 12.43 suggests continued rise.</t>
  </si>
  <si>
    <t>Strategic Recommendations</t>
  </si>
  <si>
    <t>Action Plan</t>
  </si>
  <si>
    <t>Prioritize investment. Expand offerings, apply premium pricing, and boost marketing.</t>
  </si>
  <si>
    <t>Sustain growth with product variety and loyalty programs to retain customers.</t>
  </si>
  <si>
    <t>Introduce seasonal flavors and promotions to extend growth beyond saturation.</t>
  </si>
  <si>
    <t>Apply dynamic pricing and flexible marketing to manage volatility and improve fit.</t>
  </si>
  <si>
    <t>Conclusion</t>
  </si>
  <si>
    <t>Product Stage</t>
  </si>
  <si>
    <t>Insight</t>
  </si>
  <si>
    <t>Approaching saturation; growth is slowing.</t>
  </si>
  <si>
    <t>Inconsistent sales; needs adaptive strategies.</t>
  </si>
  <si>
    <t>Steady growth with room for expansion.</t>
  </si>
  <si>
    <t>Highest growth potential; deserves focused attention and resources.</t>
  </si>
  <si>
    <t>Column1</t>
  </si>
  <si>
    <t>Column2</t>
  </si>
  <si>
    <t>Column3</t>
  </si>
  <si>
    <t>Column4</t>
  </si>
  <si>
    <r>
      <rPr>
        <b/>
        <sz val="14"/>
        <color theme="1"/>
        <rFont val="Calibri"/>
        <family val="2"/>
        <scheme val="minor"/>
      </rPr>
      <t>1) Descriptive Analytics:</t>
    </r>
    <r>
      <rPr>
        <b/>
        <sz val="11"/>
        <color theme="1"/>
        <rFont val="Calibri"/>
        <family val="2"/>
        <scheme val="minor"/>
      </rPr>
      <t xml:space="preserve"> Descriptive analytics focuses on what happened In the oast. It uses historical data to identify trends, patterns, and insights. To improve customer satisfaction, a company can use descriptive analytics to: </t>
    </r>
    <r>
      <rPr>
        <b/>
        <sz val="14"/>
        <color theme="1"/>
        <rFont val="Calibri"/>
        <family val="2"/>
        <scheme val="minor"/>
      </rPr>
      <t>1) Summarize Customer Feedback:</t>
    </r>
    <r>
      <rPr>
        <b/>
        <sz val="11"/>
        <color theme="1"/>
        <rFont val="Calibri"/>
        <family val="2"/>
        <scheme val="minor"/>
      </rPr>
      <t xml:space="preserve"> Analyze data from customer surveys, reviews, and social media comments to understand overall sentiment. This can identify common issues or areas where customers are disatisfied. For example, a company might discover that a high percentage of negative reviews are related to slow shipping times. </t>
    </r>
    <r>
      <rPr>
        <b/>
        <sz val="14"/>
        <color theme="1"/>
        <rFont val="Calibri"/>
        <family val="2"/>
        <scheme val="minor"/>
      </rPr>
      <t>2) Identify Top Complaints:</t>
    </r>
    <r>
      <rPr>
        <b/>
        <sz val="11"/>
        <color theme="1"/>
        <rFont val="Calibri"/>
        <family val="2"/>
        <scheme val="minor"/>
      </rPr>
      <t xml:space="preserve"> Use frequency analysis to pinpoint the most common problems customers report. By knowing that "long wait time on the phone" is the number one complaint, the organization can priortize fixing that specific issue. </t>
    </r>
    <r>
      <rPr>
        <b/>
        <sz val="14"/>
        <color theme="1"/>
        <rFont val="Calibri"/>
        <family val="2"/>
        <scheme val="minor"/>
      </rPr>
      <t>2) Predictive Analytics:</t>
    </r>
    <r>
      <rPr>
        <b/>
        <sz val="11"/>
        <color theme="1"/>
        <rFont val="Calibri"/>
        <family val="2"/>
        <scheme val="minor"/>
      </rPr>
      <t xml:space="preserve"> Predictive analytics uses historical data ana statistical models to forecast what might happen in the future. In the context of customer satisfaction, it can be used to: </t>
    </r>
    <r>
      <rPr>
        <b/>
        <sz val="14"/>
        <color theme="1"/>
        <rFont val="Calibri"/>
        <family val="2"/>
        <scheme val="minor"/>
      </rPr>
      <t>1) Predict customer churn:</t>
    </r>
    <r>
      <rPr>
        <b/>
        <sz val="11"/>
        <color theme="1"/>
        <rFont val="Calibri"/>
        <family val="2"/>
        <scheme val="minor"/>
      </rPr>
      <t xml:space="preserve"> By analyzing a customer's behavior (e.g.. Fewer purchases, less risk of leaving. This allows the company to proactively reach out with personalized offers or support to prevent them from becoming dissatisfied and churning. </t>
    </r>
    <r>
      <rPr>
        <b/>
        <sz val="14"/>
        <color theme="1"/>
        <rFont val="Calibri"/>
        <family val="2"/>
        <scheme val="minor"/>
      </rPr>
      <t>3) Forecast Future Complaint Volumes:</t>
    </r>
    <r>
      <rPr>
        <b/>
        <sz val="11"/>
        <color theme="1"/>
        <rFont val="Calibri"/>
        <family val="2"/>
        <scheme val="minor"/>
      </rPr>
      <t xml:space="preserve"> Predict when and where a spike in customer complaints might occur. For instance, based on past data, a model might predict a high volume of complaints during a new product launch. This allows the company to allocate more customer servuce resources to that period.</t>
    </r>
    <r>
      <rPr>
        <b/>
        <sz val="14"/>
        <color theme="1"/>
        <rFont val="Calibri"/>
        <family val="2"/>
        <scheme val="minor"/>
      </rPr>
      <t xml:space="preserve"> 3) Prescriptive Analytics:</t>
    </r>
    <r>
      <rPr>
        <b/>
        <sz val="11"/>
        <color theme="1"/>
        <rFont val="Calibri"/>
        <family val="2"/>
        <scheme val="minor"/>
      </rPr>
      <t xml:space="preserve"> Precriptive analytics goes beyond what happened or what will happen to recommend a course of action. It suggests the best decision to take to achieve a specific outcome. To enhance customer satisfaction, a company can leverage prescriptive analytics to: </t>
    </r>
    <r>
      <rPr>
        <b/>
        <sz val="14"/>
        <color theme="1"/>
        <rFont val="Calibri"/>
        <family val="2"/>
        <scheme val="minor"/>
      </rPr>
      <t>1) Recommend personalized solutions:</t>
    </r>
    <r>
      <rPr>
        <b/>
        <sz val="11"/>
        <color theme="1"/>
        <rFont val="Calibri"/>
        <family val="2"/>
        <scheme val="minor"/>
      </rPr>
      <t xml:space="preserve"> Based on a customer's past behavior and issues. Prescritpive models can suggest the most effective way to solve their problem. For example, if a customer frequently complains about product durability, the system could automatically recommend sending them a replacment or offering a different, more durable product. </t>
    </r>
    <r>
      <rPr>
        <b/>
        <sz val="14"/>
        <color theme="1"/>
        <rFont val="Calibri"/>
        <family val="2"/>
        <scheme val="minor"/>
      </rPr>
      <t>3) Optimize staffing levels:</t>
    </r>
    <r>
      <rPr>
        <b/>
        <sz val="11"/>
        <color theme="1"/>
        <rFont val="Calibri"/>
        <family val="2"/>
        <scheme val="minor"/>
      </rPr>
      <t xml:space="preserve"> By analyzing historical complaint data and predicted complaint volumes, a prescriptive model can recommend the optimal number of customer service representatives to have on duty at any given time to minimize wait times and maximize customer satisfaction.</t>
    </r>
  </si>
  <si>
    <t>2.  In the space below, discuss the process of data cleaning and why it is important.  (5 points)</t>
  </si>
  <si>
    <r>
      <rPr>
        <b/>
        <sz val="11"/>
        <color theme="1"/>
        <rFont val="Calibri"/>
        <family val="2"/>
        <scheme val="minor"/>
      </rPr>
      <t xml:space="preserve">The process of Data Cleaning: </t>
    </r>
    <r>
      <rPr>
        <b/>
        <sz val="14"/>
        <color theme="1"/>
        <rFont val="Calibri"/>
        <family val="2"/>
        <scheme val="minor"/>
      </rPr>
      <t>1) Handling Missing Values:</t>
    </r>
    <r>
      <rPr>
        <b/>
        <sz val="11"/>
        <color theme="1"/>
        <rFont val="Calibri"/>
        <family val="2"/>
        <scheme val="minor"/>
      </rPr>
      <t xml:space="preserve"> Identify and address gaps in the data. This can be done by deleting records with missing values (if the number is small), Imputing them with a central tendency measure like the mean or median, or using a more sophisticated model to predict the missing values. </t>
    </r>
    <r>
      <rPr>
        <b/>
        <sz val="14"/>
        <color theme="1"/>
        <rFont val="Calibri"/>
        <family val="2"/>
        <scheme val="minor"/>
      </rPr>
      <t>2) Removing Duplicates:</t>
    </r>
    <r>
      <rPr>
        <b/>
        <sz val="11"/>
        <color theme="1"/>
        <rFont val="Calibri"/>
        <family val="2"/>
        <scheme val="minor"/>
      </rPr>
      <t xml:space="preserve"> Find and eliminate duplicate entries that can skew analysis results. This is common when data is collected from multiple sources and needs to be consolidated. </t>
    </r>
    <r>
      <rPr>
        <b/>
        <sz val="14"/>
        <color theme="1"/>
        <rFont val="Calibri"/>
        <family val="2"/>
        <scheme val="minor"/>
      </rPr>
      <t>3) Correcting Inconsistent Data:</t>
    </r>
    <r>
      <rPr>
        <b/>
        <sz val="11"/>
        <color theme="1"/>
        <rFont val="Calibri"/>
        <family val="2"/>
        <scheme val="minor"/>
      </rPr>
      <t xml:space="preserve"> Fix inconsistencies in formatting or spelling. For example, "New York", "NY" and "n.y" should all be standardized to a single format. This also includes correcting structural errors. </t>
    </r>
    <r>
      <rPr>
        <b/>
        <sz val="14"/>
        <color theme="1"/>
        <rFont val="Calibri"/>
        <family val="2"/>
        <scheme val="minor"/>
      </rPr>
      <t>4) Dealing with Outliers:</t>
    </r>
    <r>
      <rPr>
        <b/>
        <sz val="11"/>
        <color theme="1"/>
        <rFont val="Calibri"/>
        <family val="2"/>
        <scheme val="minor"/>
      </rPr>
      <t xml:space="preserve"> Identify and decide how to handle outliers, which are data points that significantly deviats from the rest of the dataset. While some outliers are legitimate, others may be data entry errors and can disproportinately influence statistical analysis.</t>
    </r>
    <r>
      <rPr>
        <b/>
        <sz val="14"/>
        <color theme="1"/>
        <rFont val="Calibri"/>
        <family val="2"/>
        <scheme val="minor"/>
      </rPr>
      <t xml:space="preserve"> 5) Validating Data:</t>
    </r>
    <r>
      <rPr>
        <b/>
        <sz val="11"/>
        <color theme="1"/>
        <rFont val="Calibri"/>
        <family val="2"/>
        <scheme val="minor"/>
      </rPr>
      <t xml:space="preserve"> Perform a final check to ensure the cleaned data is accuarte and fits the defined rules and constraints. This step confirms that the data is ready for analysis and modeling. Why Data Cleaning is Important: Data cleaning is vital because the quality of the insights derived from an analysis is directly dependent on the quality of the data used. As the saying goes, " Garbage in, garbage out.</t>
    </r>
    <r>
      <rPr>
        <b/>
        <sz val="14"/>
        <color theme="1"/>
        <rFont val="Calibri"/>
        <family val="2"/>
        <scheme val="minor"/>
      </rPr>
      <t xml:space="preserve">" 1) Improved Accuracy: </t>
    </r>
    <r>
      <rPr>
        <b/>
        <sz val="11"/>
        <color theme="1"/>
        <rFont val="Calibri"/>
        <family val="2"/>
        <scheme val="minor"/>
      </rPr>
      <t xml:space="preserve">Clean data leads to more accurate and reliable analysis. Errors in the data can lead to faulty conclusions, which in turn can result in poor business decisions. </t>
    </r>
    <r>
      <rPr>
        <b/>
        <sz val="14"/>
        <color theme="1"/>
        <rFont val="Calibri"/>
        <family val="2"/>
        <scheme val="minor"/>
      </rPr>
      <t>2) Enhanced Efficiency:</t>
    </r>
    <r>
      <rPr>
        <b/>
        <sz val="11"/>
        <color theme="1"/>
        <rFont val="Calibri"/>
        <family val="2"/>
        <scheme val="minor"/>
      </rPr>
      <t xml:space="preserve"> Spending time on data cleaning upfront saves a significant amount of time and effort later on in the analysis and modeling stages. Without clean data, analysts would have to constantly deal with errors and anomalies, slowing down the entire process.</t>
    </r>
    <r>
      <rPr>
        <b/>
        <sz val="14"/>
        <color theme="1"/>
        <rFont val="Calibri"/>
        <family val="2"/>
        <scheme val="minor"/>
      </rPr>
      <t xml:space="preserve"> 3) Better Decision Making:</t>
    </r>
    <r>
      <rPr>
        <b/>
        <sz val="11"/>
        <color theme="1"/>
        <rFont val="Calibri"/>
        <family val="2"/>
        <scheme val="minor"/>
      </rPr>
      <t xml:space="preserve"> By providing a solid foundation of high-quality data, cleaning enables more confident and informed decision-making . Businesses can trust that their strategies and actions are based on a true representation of the underlying information, not on flawed data.</t>
    </r>
  </si>
  <si>
    <r>
      <rPr>
        <b/>
        <sz val="14"/>
        <color theme="1"/>
        <rFont val="Calibri"/>
        <family val="2"/>
        <scheme val="minor"/>
      </rPr>
      <t>1) Defining the problem:</t>
    </r>
    <r>
      <rPr>
        <b/>
        <sz val="11"/>
        <color theme="1"/>
        <rFont val="Calibri"/>
        <family val="2"/>
        <scheme val="minor"/>
      </rPr>
      <t xml:space="preserve"> The first step is to clearly define the business question or problem you're trying to solve. This involves identifying the objectives, desired outcome, and key stake holders. Without a clear goal, the analysis can become unfocused and yield irrelevant results. For example, a company might want to know why its sales are declining. </t>
    </r>
    <r>
      <rPr>
        <b/>
        <sz val="14"/>
        <color theme="1"/>
        <rFont val="Calibri"/>
        <family val="2"/>
        <scheme val="minor"/>
      </rPr>
      <t>2) Data Collection:</t>
    </r>
    <r>
      <rPr>
        <b/>
        <sz val="11"/>
        <color theme="1"/>
        <rFont val="Calibri"/>
        <family val="2"/>
        <scheme val="minor"/>
      </rPr>
      <t xml:space="preserve"> Once the problem is defined, you need yo collect the relevant data from various sources. This could include internal databases, external APIs public datasets, or surveys. Data must be gathered in a structured and organized manner o ensure its integrity for later analysis. </t>
    </r>
    <r>
      <rPr>
        <b/>
        <sz val="14"/>
        <color theme="1"/>
        <rFont val="Calibri"/>
        <family val="2"/>
        <scheme val="minor"/>
      </rPr>
      <t>3) Data Cleaning and Preparation:</t>
    </r>
    <r>
      <rPr>
        <b/>
        <sz val="11"/>
        <color theme="1"/>
        <rFont val="Calibri"/>
        <family val="2"/>
        <scheme val="minor"/>
      </rPr>
      <t xml:space="preserve"> This is often the most time-consuming ohase. Raw data is rarely perfect and often contains errors, missing values, duplicates, and inconsistencies. This step involves cleaning the data to remove or correct these issues, and then transforming it into a format suitable for analysis. For example, you might standardize date formats or fill in missing entries.</t>
    </r>
    <r>
      <rPr>
        <b/>
        <sz val="14"/>
        <color theme="1"/>
        <rFont val="Calibri"/>
        <family val="2"/>
        <scheme val="minor"/>
      </rPr>
      <t xml:space="preserve"> 4) Exploratory Data Analysis (EDA):</t>
    </r>
    <r>
      <rPr>
        <b/>
        <sz val="11"/>
        <color theme="1"/>
        <rFont val="Calibri"/>
        <family val="2"/>
        <scheme val="minor"/>
      </rPr>
      <t xml:space="preserve"> In this phase, you explore the data to understand its main characteristics, identify patterns, spot anomalies, and check assumptions with the helpof summary statistics and data visualizations. This is a crucial step for discovering initial insights and validating the data quality before more complex modeling begins.</t>
    </r>
    <r>
      <rPr>
        <b/>
        <sz val="14"/>
        <color theme="1"/>
        <rFont val="Calibri"/>
        <family val="2"/>
        <scheme val="minor"/>
      </rPr>
      <t xml:space="preserve"> 5) Modeling and Analysis: </t>
    </r>
    <r>
      <rPr>
        <b/>
        <sz val="11"/>
        <color theme="1"/>
        <rFont val="Calibri"/>
        <family val="2"/>
        <scheme val="minor"/>
      </rPr>
      <t>This is where you apply statistical techniques and machine learning algorithms to the cleaned data to answer the initial problem. This can range from simple descriptive statistics (e.g. averages medians) to more advanced predictive models (e.g. regression analysis, clustering). The choice of model depends on the type of question being asked.</t>
    </r>
    <r>
      <rPr>
        <b/>
        <sz val="14"/>
        <color theme="1"/>
        <rFont val="Calibri"/>
        <family val="2"/>
        <scheme val="minor"/>
      </rPr>
      <t xml:space="preserve"> 6) Interpretation and Visualization:</t>
    </r>
    <r>
      <rPr>
        <b/>
        <sz val="11"/>
        <color theme="1"/>
        <rFont val="Calibri"/>
        <family val="2"/>
        <scheme val="minor"/>
      </rPr>
      <t xml:space="preserve"> After the analysis, the results must be interpreted and communicated effectively. This often involves creating data visualizations like charts and graphs, which make complex findings easy to understand for non-technical audiences. The key is to translate the analytical output back into meaningful business insights that directly address the original problem. </t>
    </r>
    <r>
      <rPr>
        <b/>
        <sz val="14"/>
        <color theme="1"/>
        <rFont val="Calibri"/>
        <family val="2"/>
        <scheme val="minor"/>
      </rPr>
      <t>7) Action and Feedback:</t>
    </r>
    <r>
      <rPr>
        <b/>
        <sz val="11"/>
        <color theme="1"/>
        <rFont val="Calibri"/>
        <family val="2"/>
        <scheme val="minor"/>
      </rPr>
      <t xml:space="preserve"> The final step is to tale action based on the insights gained. The results of the analysis should guide business decisions, and their impact should be monitored. This feedback loop helps refine future analyses and ensures that the process continues to deliver value.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</si>
</sst>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quot;$&quot;#,##0"/>
    <numFmt numFmtId="165" formatCode="&quot;$&quot;#,##0.00"/>
    <numFmt numFmtId="166" formatCode="0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u/>
      <sz val="10"/>
      <name val="Arial"/>
      <family val="2"/>
    </font>
    <font>
      <b/>
      <u/>
      <sz val="11"/>
      <color theme="1"/>
      <name val="Calibri"/>
      <family val="2"/>
      <scheme val="minor"/>
    </font>
    <font>
      <b/>
      <sz val="12"/>
      <color theme="1"/>
      <name val="Calibri"/>
      <family val="2"/>
      <scheme val="minor"/>
    </font>
    <font>
      <i/>
      <sz val="11"/>
      <color theme="1"/>
      <name val="Calibri"/>
      <family val="2"/>
      <scheme val="minor"/>
    </font>
    <font>
      <b/>
      <sz val="14"/>
      <color theme="1"/>
      <name val="Calibri"/>
      <family val="2"/>
      <scheme val="minor"/>
    </font>
    <font>
      <b/>
      <sz val="13.5"/>
      <color theme="1"/>
      <name val="Calibri"/>
      <family val="2"/>
      <scheme val="minor"/>
    </font>
    <font>
      <b/>
      <sz val="11"/>
      <name val="Calibri"/>
      <family val="2"/>
      <scheme val="minor"/>
    </font>
    <font>
      <sz val="1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theme="5" tint="0.59999389629810485"/>
        <bgColor indexed="64"/>
      </patternFill>
    </fill>
  </fills>
  <borders count="7">
    <border>
      <left/>
      <right/>
      <top/>
      <bottom/>
      <diagonal/>
    </border>
    <border>
      <left style="medium">
        <color indexed="64"/>
      </left>
      <right/>
      <top/>
      <bottom style="thin">
        <color indexed="64"/>
      </bottom>
      <diagonal/>
    </border>
    <border>
      <left style="medium">
        <color indexed="64"/>
      </left>
      <right/>
      <top/>
      <bottom/>
      <diagonal/>
    </border>
    <border>
      <left/>
      <right/>
      <top style="thin">
        <color indexed="64"/>
      </top>
      <bottom/>
      <diagonal/>
    </border>
    <border>
      <left/>
      <right/>
      <top style="medium">
        <color auto="1"/>
      </top>
      <bottom style="thin">
        <color indexed="64"/>
      </bottom>
      <diagonal/>
    </border>
    <border>
      <left/>
      <right/>
      <top/>
      <bottom style="medium">
        <color auto="1"/>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cellStyleXfs>
  <cellXfs count="84">
    <xf numFmtId="0" fontId="0" fillId="0" borderId="0" xfId="0"/>
    <xf numFmtId="0" fontId="2" fillId="0" borderId="0" xfId="4" applyFont="1"/>
    <xf numFmtId="0" fontId="3" fillId="0" borderId="0" xfId="5"/>
    <xf numFmtId="0" fontId="2" fillId="0" borderId="0" xfId="0" applyFont="1" applyAlignment="1">
      <alignment horizontal="left" indent="2"/>
    </xf>
    <xf numFmtId="0" fontId="2" fillId="0" borderId="0" xfId="0" applyFont="1" applyAlignment="1">
      <alignment horizontal="center" wrapText="1"/>
    </xf>
    <xf numFmtId="0" fontId="0" fillId="0" borderId="0" xfId="0" applyAlignment="1">
      <alignment horizontal="center"/>
    </xf>
    <xf numFmtId="164" fontId="0" fillId="0" borderId="0" xfId="0" applyNumberFormat="1" applyAlignment="1">
      <alignment horizontal="center"/>
    </xf>
    <xf numFmtId="0" fontId="2" fillId="0" borderId="0" xfId="5" applyFont="1"/>
    <xf numFmtId="0" fontId="4" fillId="0" borderId="0" xfId="5" applyFont="1"/>
    <xf numFmtId="0" fontId="5" fillId="0" borderId="0" xfId="5" applyFont="1" applyAlignment="1">
      <alignment wrapText="1"/>
    </xf>
    <xf numFmtId="16" fontId="0" fillId="0" borderId="0" xfId="0" applyNumberFormat="1" applyAlignment="1">
      <alignment horizontal="center"/>
    </xf>
    <xf numFmtId="0" fontId="2" fillId="0" borderId="0" xfId="0" applyFont="1" applyAlignment="1">
      <alignment horizontal="center"/>
    </xf>
    <xf numFmtId="44" fontId="0" fillId="0" borderId="0" xfId="2" applyFont="1"/>
    <xf numFmtId="0" fontId="2" fillId="0" borderId="0" xfId="0" applyFont="1"/>
    <xf numFmtId="2" fontId="0" fillId="0" borderId="0" xfId="0" applyNumberFormat="1"/>
    <xf numFmtId="0" fontId="6" fillId="0" borderId="0" xfId="0" applyFont="1"/>
    <xf numFmtId="44" fontId="2" fillId="0" borderId="0" xfId="2" applyFont="1"/>
    <xf numFmtId="0" fontId="2" fillId="0" borderId="3" xfId="0" applyFont="1" applyBorder="1"/>
    <xf numFmtId="44" fontId="2" fillId="0" borderId="3" xfId="2" applyFont="1" applyBorder="1"/>
    <xf numFmtId="165" fontId="0" fillId="0" borderId="0" xfId="2" applyNumberFormat="1" applyFont="1"/>
    <xf numFmtId="0" fontId="2" fillId="0" borderId="0" xfId="0" applyFont="1" applyAlignment="1">
      <alignment horizontal="left" vertical="top" wrapText="1"/>
    </xf>
    <xf numFmtId="0" fontId="2" fillId="0" borderId="0" xfId="4" quotePrefix="1" applyFont="1"/>
    <xf numFmtId="0" fontId="4" fillId="0" borderId="0" xfId="0" applyFont="1"/>
    <xf numFmtId="166" fontId="0" fillId="0" borderId="0" xfId="0" applyNumberFormat="1"/>
    <xf numFmtId="0" fontId="0" fillId="0" borderId="0" xfId="0" applyAlignment="1">
      <alignment horizontal="center" vertical="center" wrapText="1"/>
    </xf>
    <xf numFmtId="1" fontId="0" fillId="0" borderId="0" xfId="0" applyNumberFormat="1"/>
    <xf numFmtId="1" fontId="0" fillId="0" borderId="0" xfId="0" applyNumberFormat="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2" fillId="0" borderId="0" xfId="0" applyFont="1" applyAlignment="1">
      <alignment horizontal="center" vertical="center" wrapText="1"/>
    </xf>
    <xf numFmtId="16" fontId="0" fillId="0" borderId="0" xfId="0" applyNumberFormat="1"/>
    <xf numFmtId="164" fontId="0" fillId="0" borderId="0" xfId="0" applyNumberFormat="1"/>
    <xf numFmtId="4" fontId="0" fillId="0" borderId="0" xfId="0" applyNumberFormat="1"/>
    <xf numFmtId="0" fontId="5" fillId="0" borderId="1" xfId="5" applyFont="1" applyBorder="1" applyAlignment="1">
      <alignment wrapText="1"/>
    </xf>
    <xf numFmtId="0" fontId="5" fillId="0" borderId="0" xfId="5" applyFont="1" applyAlignment="1">
      <alignment horizontal="center" wrapText="1"/>
    </xf>
    <xf numFmtId="0" fontId="3" fillId="0" borderId="2" xfId="5" applyBorder="1" applyAlignment="1">
      <alignment horizontal="center"/>
    </xf>
    <xf numFmtId="0" fontId="3" fillId="0" borderId="0" xfId="5" applyAlignment="1">
      <alignment horizontal="center"/>
    </xf>
    <xf numFmtId="0" fontId="3" fillId="0" borderId="0" xfId="5" applyAlignment="1">
      <alignment horizontal="right"/>
    </xf>
    <xf numFmtId="0" fontId="3" fillId="0" borderId="0" xfId="3" applyNumberFormat="1" applyFont="1" applyBorder="1" applyAlignment="1">
      <alignment horizontal="center"/>
    </xf>
    <xf numFmtId="0" fontId="3" fillId="0" borderId="0" xfId="1" applyNumberFormat="1" applyFont="1" applyBorder="1" applyAlignment="1">
      <alignment horizontal="center"/>
    </xf>
    <xf numFmtId="0" fontId="3" fillId="0" borderId="0" xfId="5" applyAlignment="1">
      <alignment horizontal="left"/>
    </xf>
    <xf numFmtId="0" fontId="0" fillId="0" borderId="0" xfId="0" pivotButton="1"/>
    <xf numFmtId="0" fontId="0" fillId="0" borderId="0" xfId="0" applyAlignment="1">
      <alignment horizontal="left"/>
    </xf>
    <xf numFmtId="14" fontId="0" fillId="0" borderId="0" xfId="0" applyNumberFormat="1"/>
    <xf numFmtId="0" fontId="0" fillId="2" borderId="0" xfId="0" applyFill="1"/>
    <xf numFmtId="0" fontId="0" fillId="0" borderId="5" xfId="0" applyBorder="1"/>
    <xf numFmtId="0" fontId="8" fillId="0" borderId="4" xfId="0" applyFont="1" applyBorder="1" applyAlignment="1">
      <alignment horizontal="center"/>
    </xf>
    <xf numFmtId="0" fontId="8" fillId="0" borderId="4" xfId="0" applyFont="1" applyBorder="1" applyAlignment="1">
      <alignment horizontal="centerContinuous"/>
    </xf>
    <xf numFmtId="0" fontId="0" fillId="3" borderId="0" xfId="0" applyFill="1"/>
    <xf numFmtId="9" fontId="0" fillId="3" borderId="0" xfId="3" applyFont="1" applyFill="1"/>
    <xf numFmtId="2" fontId="0" fillId="3" borderId="0" xfId="0" applyNumberFormat="1" applyFill="1"/>
    <xf numFmtId="0" fontId="2" fillId="3" borderId="0" xfId="0" applyFont="1" applyFill="1"/>
    <xf numFmtId="0" fontId="9" fillId="0" borderId="0" xfId="0" applyFont="1"/>
    <xf numFmtId="0" fontId="0" fillId="0" borderId="0" xfId="0" applyAlignment="1">
      <alignment vertical="center" wrapText="1"/>
    </xf>
    <xf numFmtId="8" fontId="0" fillId="0" borderId="0" xfId="0" applyNumberFormat="1" applyAlignment="1">
      <alignment vertical="center" wrapText="1"/>
    </xf>
    <xf numFmtId="0" fontId="7" fillId="0" borderId="0" xfId="0" applyFont="1"/>
    <xf numFmtId="0" fontId="0" fillId="0" borderId="0" xfId="0"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xf>
    <xf numFmtId="0" fontId="7" fillId="0" borderId="3" xfId="0" applyFont="1" applyBorder="1" applyAlignment="1">
      <alignment horizontal="center"/>
    </xf>
    <xf numFmtId="0" fontId="7" fillId="0" borderId="0" xfId="0" applyFont="1" applyAlignment="1">
      <alignment horizontal="center" vertical="center"/>
    </xf>
    <xf numFmtId="0" fontId="0" fillId="0" borderId="0" xfId="0" applyAlignment="1">
      <alignment horizontal="center" vertical="center"/>
    </xf>
    <xf numFmtId="0" fontId="0" fillId="0" borderId="0" xfId="0" applyAlignment="1"/>
    <xf numFmtId="0" fontId="2" fillId="0" borderId="0" xfId="0" applyFont="1" applyAlignment="1" applyProtection="1">
      <alignment horizontal="left" vertical="top" wrapText="1"/>
      <protection locked="0"/>
    </xf>
    <xf numFmtId="0" fontId="0" fillId="0" borderId="6" xfId="0" applyBorder="1"/>
    <xf numFmtId="0" fontId="11" fillId="4" borderId="6" xfId="0" applyFont="1" applyFill="1" applyBorder="1" applyAlignment="1">
      <alignment horizontal="center" wrapText="1"/>
    </xf>
    <xf numFmtId="0" fontId="2" fillId="0" borderId="6" xfId="0" applyFont="1" applyBorder="1" applyAlignment="1">
      <alignment horizontal="center" wrapText="1"/>
    </xf>
    <xf numFmtId="165" fontId="0" fillId="0" borderId="6" xfId="2" applyNumberFormat="1" applyFont="1" applyBorder="1"/>
    <xf numFmtId="165" fontId="0" fillId="0" borderId="6" xfId="0" applyNumberFormat="1" applyBorder="1"/>
    <xf numFmtId="165" fontId="12" fillId="4" borderId="6" xfId="0" applyNumberFormat="1" applyFont="1" applyFill="1" applyBorder="1"/>
    <xf numFmtId="0" fontId="12" fillId="4" borderId="6" xfId="0" applyFont="1" applyFill="1" applyBorder="1"/>
    <xf numFmtId="0" fontId="11" fillId="5" borderId="0" xfId="0" applyFont="1" applyFill="1"/>
    <xf numFmtId="0" fontId="12" fillId="5" borderId="0" xfId="0" applyFont="1" applyFill="1"/>
    <xf numFmtId="0" fontId="0" fillId="5" borderId="0" xfId="0" applyFill="1"/>
    <xf numFmtId="0" fontId="4" fillId="5" borderId="0" xfId="4" applyFont="1" applyFill="1"/>
    <xf numFmtId="0" fontId="4" fillId="5" borderId="0" xfId="0" applyFont="1" applyFill="1"/>
    <xf numFmtId="165" fontId="2" fillId="0" borderId="6" xfId="2" applyNumberFormat="1" applyFont="1" applyBorder="1"/>
    <xf numFmtId="165" fontId="2" fillId="0" borderId="6" xfId="0" applyNumberFormat="1" applyFont="1" applyBorder="1"/>
    <xf numFmtId="0" fontId="2" fillId="0" borderId="0" xfId="0" applyFont="1" applyAlignment="1">
      <alignment vertical="center" wrapText="1"/>
    </xf>
    <xf numFmtId="0" fontId="0" fillId="0" borderId="0" xfId="0" applyAlignment="1">
      <alignment vertical="center"/>
    </xf>
    <xf numFmtId="0" fontId="10"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4" fontId="0" fillId="0" borderId="0" xfId="0" applyNumberFormat="1" applyAlignment="1">
      <alignment vertical="center" wrapText="1"/>
    </xf>
  </cellXfs>
  <cellStyles count="6">
    <cellStyle name="Comma" xfId="1" builtinId="3"/>
    <cellStyle name="Currency" xfId="2" builtinId="4"/>
    <cellStyle name="Normal" xfId="0" builtinId="0"/>
    <cellStyle name="Normal 2" xfId="4" xr:uid="{839BFC2D-658E-453C-BA75-4C0A836791BD}"/>
    <cellStyle name="Normal 2 2" xfId="5" xr:uid="{53143E9D-19C0-459E-9D07-26B4A713BF97}"/>
    <cellStyle name="Percent" xfId="3" builtinId="5"/>
  </cellStyles>
  <dxfs count="68">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2" formatCode="&quot;$&quot;#,##0.00_);[Red]\(&quot;$&quot;#,##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000000"/>
    </dxf>
    <dxf>
      <border outline="0">
        <top style="thin">
          <color indexed="64"/>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00"/>
    </dxf>
    <dxf>
      <font>
        <b val="0"/>
        <i val="0"/>
        <strike val="0"/>
        <condense val="0"/>
        <extend val="0"/>
        <outline val="0"/>
        <shadow val="0"/>
        <u val="none"/>
        <vertAlign val="baseline"/>
        <sz val="11"/>
        <color theme="1"/>
        <name val="Calibri"/>
        <family val="2"/>
        <scheme val="minor"/>
      </font>
      <numFmt numFmtId="165" formatCode="&quot;$&quot;#,##0.0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center"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i val="0"/>
        <strike val="0"/>
        <condense val="0"/>
        <extend val="0"/>
        <outline val="0"/>
        <shadow val="0"/>
        <u/>
        <vertAlign val="baseline"/>
        <sz val="10"/>
        <color auto="1"/>
        <name val="Arial"/>
        <family val="2"/>
        <scheme val="none"/>
      </font>
      <numFmt numFmtId="0" formatCode="General"/>
      <alignment horizontal="center" vertical="bottom" textRotation="0" wrapText="1" indent="0" justifyLastLine="0" shrinkToFit="0" readingOrder="0"/>
    </dxf>
    <dxf>
      <numFmt numFmtId="4" formatCode="#,##0.00"/>
    </dxf>
    <dxf>
      <numFmt numFmtId="2" formatCode="0.00"/>
    </dxf>
    <dxf>
      <numFmt numFmtId="2" formatCode="0.00"/>
    </dxf>
    <dxf>
      <numFmt numFmtId="167" formatCode="dd/mmm"/>
    </dxf>
    <dxf>
      <numFmt numFmtId="4" formatCode="#,##0.00"/>
    </dxf>
    <dxf>
      <numFmt numFmtId="2" formatCode="0.00"/>
    </dxf>
    <dxf>
      <numFmt numFmtId="2" formatCode="0.00"/>
    </dxf>
    <dxf>
      <numFmt numFmtId="167" formatCode="dd/mmm"/>
    </dxf>
    <dxf>
      <numFmt numFmtId="4" formatCode="#,##0.00"/>
    </dxf>
    <dxf>
      <numFmt numFmtId="2" formatCode="0.00"/>
    </dxf>
    <dxf>
      <numFmt numFmtId="2" formatCode="0.00"/>
    </dxf>
    <dxf>
      <numFmt numFmtId="167" formatCode="dd/mmm"/>
    </dxf>
    <dxf>
      <numFmt numFmtId="4" formatCode="#,##0.00"/>
    </dxf>
    <dxf>
      <numFmt numFmtId="164" formatCode="&quot;$&quot;#,##0"/>
    </dxf>
    <dxf>
      <numFmt numFmtId="164" formatCode="&quot;$&quot;#,##0"/>
    </dxf>
    <dxf>
      <numFmt numFmtId="164" formatCode="&quot;$&quot;#,##0"/>
    </dxf>
    <dxf>
      <numFmt numFmtId="167" formatCode="dd/m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pivotCacheDefinition" Target="pivotCache/pivotCacheDefinition3.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theme" Target="theme/theme1.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pivotCacheDefinition" Target="pivotCache/pivotCacheDefinition1.xml"/><Relationship Id="rId40" Type="http://schemas.openxmlformats.org/officeDocument/2006/relationships/pivotCacheDefinition" Target="pivotCache/pivotCacheDefinition4.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pivotCacheDefinition" Target="pivotCache/pivotCacheDefinition2.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 Chart </a:t>
            </a:r>
          </a:p>
        </c:rich>
      </c:tx>
      <c:layout>
        <c:manualLayout>
          <c:xMode val="edge"/>
          <c:yMode val="edge"/>
          <c:x val="0.43182487983737611"/>
          <c:y val="2.3743066370283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 Determination'!$D$11</c:f>
              <c:strCache>
                <c:ptCount val="1"/>
                <c:pt idx="0">
                  <c:v>Cookies</c:v>
                </c:pt>
              </c:strCache>
            </c:strRef>
          </c:tx>
          <c:spPr>
            <a:ln w="28575" cap="rnd">
              <a:solidFill>
                <a:schemeClr val="accent1"/>
              </a:solidFill>
              <a:round/>
            </a:ln>
            <a:effectLst/>
          </c:spPr>
          <c:marker>
            <c:symbol val="none"/>
          </c:marker>
          <c:cat>
            <c:numRef>
              <c:f>'Data Determination'!$C$12:$C$28</c:f>
              <c:numCache>
                <c:formatCode>d\-mmm</c:formatCode>
                <c:ptCount val="17"/>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numCache>
            </c:numRef>
          </c:cat>
          <c:val>
            <c:numRef>
              <c:f>'Data Determination'!$D$12:$D$28</c:f>
              <c:numCache>
                <c:formatCode>"$"#,##0</c:formatCode>
                <c:ptCount val="17"/>
                <c:pt idx="0">
                  <c:v>45.712798731434759</c:v>
                </c:pt>
                <c:pt idx="1">
                  <c:v>72.350617798433547</c:v>
                </c:pt>
                <c:pt idx="2">
                  <c:v>111.90056268960458</c:v>
                </c:pt>
                <c:pt idx="3">
                  <c:v>167.40444913303236</c:v>
                </c:pt>
                <c:pt idx="4">
                  <c:v>239.43850654016259</c:v>
                </c:pt>
                <c:pt idx="5">
                  <c:v>323.99894775039195</c:v>
                </c:pt>
                <c:pt idx="6">
                  <c:v>412.31900905029426</c:v>
                </c:pt>
                <c:pt idx="7">
                  <c:v>493.99424788137514</c:v>
                </c:pt>
                <c:pt idx="8">
                  <c:v>561.45033751607934</c:v>
                </c:pt>
                <c:pt idx="9">
                  <c:v>612.1506128246599</c:v>
                </c:pt>
                <c:pt idx="10">
                  <c:v>647.62158093881692</c:v>
                </c:pt>
                <c:pt idx="11">
                  <c:v>671.2115253496122</c:v>
                </c:pt>
                <c:pt idx="12">
                  <c:v>686.37575305856012</c:v>
                </c:pt>
                <c:pt idx="13">
                  <c:v>695.91178823338214</c:v>
                </c:pt>
                <c:pt idx="14">
                  <c:v>701.82587986351939</c:v>
                </c:pt>
                <c:pt idx="15">
                  <c:v>705.46218529121825</c:v>
                </c:pt>
                <c:pt idx="16">
                  <c:v>707.68613222247166</c:v>
                </c:pt>
              </c:numCache>
            </c:numRef>
          </c:val>
          <c:smooth val="0"/>
          <c:extLst>
            <c:ext xmlns:c16="http://schemas.microsoft.com/office/drawing/2014/chart" uri="{C3380CC4-5D6E-409C-BE32-E72D297353CC}">
              <c16:uniqueId val="{00000000-91E3-4251-BAC2-35957034343E}"/>
            </c:ext>
          </c:extLst>
        </c:ser>
        <c:ser>
          <c:idx val="1"/>
          <c:order val="1"/>
          <c:tx>
            <c:strRef>
              <c:f>'Data Determination'!$E$11</c:f>
              <c:strCache>
                <c:ptCount val="1"/>
                <c:pt idx="0">
                  <c:v>Soda</c:v>
                </c:pt>
              </c:strCache>
            </c:strRef>
          </c:tx>
          <c:spPr>
            <a:ln w="28575" cap="rnd">
              <a:solidFill>
                <a:schemeClr val="accent2"/>
              </a:solidFill>
              <a:round/>
            </a:ln>
            <a:effectLst/>
          </c:spPr>
          <c:marker>
            <c:symbol val="none"/>
          </c:marker>
          <c:cat>
            <c:numRef>
              <c:f>'Data Determination'!$C$12:$C$28</c:f>
              <c:numCache>
                <c:formatCode>d\-mmm</c:formatCode>
                <c:ptCount val="17"/>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numCache>
            </c:numRef>
          </c:cat>
          <c:val>
            <c:numRef>
              <c:f>'Data Determination'!$E$12:$E$28</c:f>
              <c:numCache>
                <c:formatCode>"$"#,##0</c:formatCode>
                <c:ptCount val="17"/>
                <c:pt idx="0">
                  <c:v>2988.6</c:v>
                </c:pt>
                <c:pt idx="1">
                  <c:v>3071.2</c:v>
                </c:pt>
                <c:pt idx="2">
                  <c:v>3019.8</c:v>
                </c:pt>
                <c:pt idx="3">
                  <c:v>3621</c:v>
                </c:pt>
                <c:pt idx="4">
                  <c:v>3012</c:v>
                </c:pt>
                <c:pt idx="5">
                  <c:v>3159</c:v>
                </c:pt>
                <c:pt idx="6">
                  <c:v>3126.2</c:v>
                </c:pt>
                <c:pt idx="7">
                  <c:v>3798</c:v>
                </c:pt>
                <c:pt idx="8">
                  <c:v>3089</c:v>
                </c:pt>
                <c:pt idx="9">
                  <c:v>3194</c:v>
                </c:pt>
                <c:pt idx="10">
                  <c:v>3227.6</c:v>
                </c:pt>
                <c:pt idx="11">
                  <c:v>3926</c:v>
                </c:pt>
                <c:pt idx="12">
                  <c:v>3286.8</c:v>
                </c:pt>
                <c:pt idx="13">
                  <c:v>3110</c:v>
                </c:pt>
                <c:pt idx="14">
                  <c:v>3322</c:v>
                </c:pt>
                <c:pt idx="15">
                  <c:v>4154</c:v>
                </c:pt>
                <c:pt idx="16">
                  <c:v>3456</c:v>
                </c:pt>
              </c:numCache>
            </c:numRef>
          </c:val>
          <c:smooth val="0"/>
          <c:extLst>
            <c:ext xmlns:c16="http://schemas.microsoft.com/office/drawing/2014/chart" uri="{C3380CC4-5D6E-409C-BE32-E72D297353CC}">
              <c16:uniqueId val="{00000001-91E3-4251-BAC2-35957034343E}"/>
            </c:ext>
          </c:extLst>
        </c:ser>
        <c:ser>
          <c:idx val="2"/>
          <c:order val="2"/>
          <c:tx>
            <c:strRef>
              <c:f>'Data Determination'!$F$11</c:f>
              <c:strCache>
                <c:ptCount val="1"/>
                <c:pt idx="0">
                  <c:v>Coffee</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1"/>
            <c:dispEq val="1"/>
            <c:trendlineLbl>
              <c:layout>
                <c:manualLayout>
                  <c:x val="-0.54606849835836946"/>
                  <c:y val="-0.149448415043160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'Data Determination'!$C$12:$C$28</c:f>
              <c:numCache>
                <c:formatCode>d\-mmm</c:formatCode>
                <c:ptCount val="17"/>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numCache>
            </c:numRef>
          </c:cat>
          <c:val>
            <c:numRef>
              <c:f>'Data Determination'!$F$12:$F$28</c:f>
              <c:numCache>
                <c:formatCode>"$"#,##0</c:formatCode>
                <c:ptCount val="17"/>
                <c:pt idx="0">
                  <c:v>4630</c:v>
                </c:pt>
                <c:pt idx="1">
                  <c:v>4900</c:v>
                </c:pt>
                <c:pt idx="2">
                  <c:v>5267</c:v>
                </c:pt>
                <c:pt idx="3">
                  <c:v>5400</c:v>
                </c:pt>
                <c:pt idx="4">
                  <c:v>5612</c:v>
                </c:pt>
                <c:pt idx="5">
                  <c:v>5714</c:v>
                </c:pt>
                <c:pt idx="6">
                  <c:v>5923</c:v>
                </c:pt>
                <c:pt idx="7">
                  <c:v>6245</c:v>
                </c:pt>
                <c:pt idx="8">
                  <c:v>6332</c:v>
                </c:pt>
                <c:pt idx="9">
                  <c:v>6471</c:v>
                </c:pt>
                <c:pt idx="10">
                  <c:v>6698</c:v>
                </c:pt>
                <c:pt idx="11">
                  <c:v>6934</c:v>
                </c:pt>
                <c:pt idx="12">
                  <c:v>7198</c:v>
                </c:pt>
                <c:pt idx="13">
                  <c:v>7376</c:v>
                </c:pt>
                <c:pt idx="14">
                  <c:v>7560</c:v>
                </c:pt>
                <c:pt idx="15">
                  <c:v>7692</c:v>
                </c:pt>
                <c:pt idx="16">
                  <c:v>7823</c:v>
                </c:pt>
              </c:numCache>
            </c:numRef>
          </c:val>
          <c:smooth val="0"/>
          <c:extLst>
            <c:ext xmlns:c16="http://schemas.microsoft.com/office/drawing/2014/chart" uri="{C3380CC4-5D6E-409C-BE32-E72D297353CC}">
              <c16:uniqueId val="{00000002-91E3-4251-BAC2-35957034343E}"/>
            </c:ext>
          </c:extLst>
        </c:ser>
        <c:ser>
          <c:idx val="3"/>
          <c:order val="3"/>
          <c:tx>
            <c:strRef>
              <c:f>'Data Determination'!$G$11</c:f>
              <c:strCache>
                <c:ptCount val="1"/>
                <c:pt idx="0">
                  <c:v>Specialty Coffee</c:v>
                </c:pt>
              </c:strCache>
            </c:strRef>
          </c:tx>
          <c:spPr>
            <a:ln w="28575" cap="rnd">
              <a:solidFill>
                <a:schemeClr val="accent4"/>
              </a:solidFill>
              <a:round/>
            </a:ln>
            <a:effectLst/>
          </c:spPr>
          <c:marker>
            <c:symbol val="none"/>
          </c:marker>
          <c:cat>
            <c:numRef>
              <c:f>'Data Determination'!$C$12:$C$28</c:f>
              <c:numCache>
                <c:formatCode>d\-mmm</c:formatCode>
                <c:ptCount val="17"/>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numCache>
            </c:numRef>
          </c:cat>
          <c:val>
            <c:numRef>
              <c:f>'Data Determination'!$G$12:$G$28</c:f>
              <c:numCache>
                <c:formatCode>"$"#,##0</c:formatCode>
                <c:ptCount val="17"/>
                <c:pt idx="0">
                  <c:v>234</c:v>
                </c:pt>
                <c:pt idx="1">
                  <c:v>301</c:v>
                </c:pt>
                <c:pt idx="2">
                  <c:v>403</c:v>
                </c:pt>
                <c:pt idx="3">
                  <c:v>867</c:v>
                </c:pt>
                <c:pt idx="4">
                  <c:v>1212</c:v>
                </c:pt>
                <c:pt idx="5">
                  <c:v>1489</c:v>
                </c:pt>
                <c:pt idx="6">
                  <c:v>2021</c:v>
                </c:pt>
                <c:pt idx="7">
                  <c:v>2478</c:v>
                </c:pt>
                <c:pt idx="8">
                  <c:v>2997</c:v>
                </c:pt>
                <c:pt idx="9">
                  <c:v>3578</c:v>
                </c:pt>
                <c:pt idx="10">
                  <c:v>4012</c:v>
                </c:pt>
                <c:pt idx="11">
                  <c:v>4687</c:v>
                </c:pt>
                <c:pt idx="12">
                  <c:v>5289</c:v>
                </c:pt>
                <c:pt idx="13">
                  <c:v>6023</c:v>
                </c:pt>
                <c:pt idx="14">
                  <c:v>6598</c:v>
                </c:pt>
                <c:pt idx="15">
                  <c:v>7278</c:v>
                </c:pt>
                <c:pt idx="16">
                  <c:v>8034</c:v>
                </c:pt>
              </c:numCache>
            </c:numRef>
          </c:val>
          <c:smooth val="0"/>
          <c:extLst>
            <c:ext xmlns:c16="http://schemas.microsoft.com/office/drawing/2014/chart" uri="{C3380CC4-5D6E-409C-BE32-E72D297353CC}">
              <c16:uniqueId val="{00000003-91E3-4251-BAC2-35957034343E}"/>
            </c:ext>
          </c:extLst>
        </c:ser>
        <c:dLbls>
          <c:showLegendKey val="0"/>
          <c:showVal val="0"/>
          <c:showCatName val="0"/>
          <c:showSerName val="0"/>
          <c:showPercent val="0"/>
          <c:showBubbleSize val="0"/>
        </c:dLbls>
        <c:smooth val="0"/>
        <c:axId val="1780210944"/>
        <c:axId val="1780207584"/>
      </c:lineChart>
      <c:dateAx>
        <c:axId val="1780210944"/>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207584"/>
        <c:crosses val="autoZero"/>
        <c:auto val="1"/>
        <c:lblOffset val="100"/>
        <c:baseTimeUnit val="months"/>
      </c:dateAx>
      <c:valAx>
        <c:axId val="1780207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210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'Data Determination'!$D$11</c:f>
              <c:strCache>
                <c:ptCount val="1"/>
                <c:pt idx="0">
                  <c:v>Cookies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poly"/>
            <c:order val="2"/>
            <c:dispRSqr val="1"/>
            <c:dispEq val="1"/>
            <c:trendlineLbl>
              <c:layout>
                <c:manualLayout>
                  <c:x val="-1.0260279965004374E-2"/>
                  <c:y val="-0.1624537037037037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errBars>
            <c:errDir val="y"/>
            <c:errBarType val="both"/>
            <c:errValType val="stdErr"/>
            <c:noEndCap val="0"/>
            <c:spPr>
              <a:noFill/>
              <a:ln w="9525" cap="flat" cmpd="sng" algn="ctr">
                <a:solidFill>
                  <a:schemeClr val="tx1">
                    <a:lumMod val="65000"/>
                    <a:lumOff val="35000"/>
                  </a:schemeClr>
                </a:solidFill>
                <a:round/>
              </a:ln>
              <a:effectLst/>
            </c:spPr>
          </c:errBars>
          <c:val>
            <c:numRef>
              <c:f>'Data Determination'!$D$12:$D$28</c:f>
              <c:numCache>
                <c:formatCode>"$"#,##0</c:formatCode>
                <c:ptCount val="17"/>
                <c:pt idx="0">
                  <c:v>45.712798731434759</c:v>
                </c:pt>
                <c:pt idx="1">
                  <c:v>72.350617798433547</c:v>
                </c:pt>
                <c:pt idx="2">
                  <c:v>111.90056268960458</c:v>
                </c:pt>
                <c:pt idx="3">
                  <c:v>167.40444913303236</c:v>
                </c:pt>
                <c:pt idx="4">
                  <c:v>239.43850654016259</c:v>
                </c:pt>
                <c:pt idx="5">
                  <c:v>323.99894775039195</c:v>
                </c:pt>
                <c:pt idx="6">
                  <c:v>412.31900905029426</c:v>
                </c:pt>
                <c:pt idx="7">
                  <c:v>493.99424788137514</c:v>
                </c:pt>
                <c:pt idx="8">
                  <c:v>561.45033751607934</c:v>
                </c:pt>
                <c:pt idx="9">
                  <c:v>612.1506128246599</c:v>
                </c:pt>
                <c:pt idx="10">
                  <c:v>647.62158093881692</c:v>
                </c:pt>
                <c:pt idx="11">
                  <c:v>671.2115253496122</c:v>
                </c:pt>
                <c:pt idx="12">
                  <c:v>686.37575305856012</c:v>
                </c:pt>
                <c:pt idx="13">
                  <c:v>695.91178823338214</c:v>
                </c:pt>
                <c:pt idx="14">
                  <c:v>701.82587986351939</c:v>
                </c:pt>
                <c:pt idx="15">
                  <c:v>705.46218529121825</c:v>
                </c:pt>
                <c:pt idx="16">
                  <c:v>707.68613222247166</c:v>
                </c:pt>
              </c:numCache>
            </c:numRef>
          </c:val>
          <c:smooth val="0"/>
          <c:extLst>
            <c:ext xmlns:c16="http://schemas.microsoft.com/office/drawing/2014/chart" uri="{C3380CC4-5D6E-409C-BE32-E72D297353CC}">
              <c16:uniqueId val="{00000001-72B6-4A30-BBC5-9E8579E77306}"/>
            </c:ext>
          </c:extLst>
        </c:ser>
        <c:dLbls>
          <c:showLegendKey val="0"/>
          <c:showVal val="0"/>
          <c:showCatName val="0"/>
          <c:showSerName val="0"/>
          <c:showPercent val="0"/>
          <c:showBubbleSize val="0"/>
        </c:dLbls>
        <c:smooth val="0"/>
        <c:axId val="2108788287"/>
        <c:axId val="2108773887"/>
      </c:lineChart>
      <c:catAx>
        <c:axId val="2108788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73887"/>
        <c:crosses val="autoZero"/>
        <c:auto val="1"/>
        <c:lblAlgn val="ctr"/>
        <c:lblOffset val="100"/>
        <c:noMultiLvlLbl val="0"/>
      </c:catAx>
      <c:valAx>
        <c:axId val="2108773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8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'Data Determination'!$E$11</c:f>
              <c:strCache>
                <c:ptCount val="1"/>
                <c:pt idx="0">
                  <c:v>Soda</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1"/>
            <c:dispEq val="1"/>
            <c:trendlineLbl>
              <c:layout>
                <c:manualLayout>
                  <c:x val="-7.4825021872265965E-3"/>
                  <c:y val="-0.196154491105278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errBars>
            <c:errDir val="y"/>
            <c:errBarType val="both"/>
            <c:errValType val="stdErr"/>
            <c:noEndCap val="0"/>
            <c:spPr>
              <a:noFill/>
              <a:ln w="9525" cap="flat" cmpd="sng" algn="ctr">
                <a:solidFill>
                  <a:schemeClr val="tx1">
                    <a:lumMod val="65000"/>
                    <a:lumOff val="35000"/>
                  </a:schemeClr>
                </a:solidFill>
                <a:round/>
              </a:ln>
              <a:effectLst/>
            </c:spPr>
          </c:errBars>
          <c:val>
            <c:numRef>
              <c:f>'Data Determination'!$E$12:$E$28</c:f>
              <c:numCache>
                <c:formatCode>"$"#,##0</c:formatCode>
                <c:ptCount val="17"/>
                <c:pt idx="0">
                  <c:v>2988.6</c:v>
                </c:pt>
                <c:pt idx="1">
                  <c:v>3071.2</c:v>
                </c:pt>
                <c:pt idx="2">
                  <c:v>3019.8</c:v>
                </c:pt>
                <c:pt idx="3">
                  <c:v>3621</c:v>
                </c:pt>
                <c:pt idx="4">
                  <c:v>3012</c:v>
                </c:pt>
                <c:pt idx="5">
                  <c:v>3159</c:v>
                </c:pt>
                <c:pt idx="6">
                  <c:v>3126.2</c:v>
                </c:pt>
                <c:pt idx="7">
                  <c:v>3798</c:v>
                </c:pt>
                <c:pt idx="8">
                  <c:v>3089</c:v>
                </c:pt>
                <c:pt idx="9">
                  <c:v>3194</c:v>
                </c:pt>
                <c:pt idx="10">
                  <c:v>3227.6</c:v>
                </c:pt>
                <c:pt idx="11">
                  <c:v>3926</c:v>
                </c:pt>
                <c:pt idx="12">
                  <c:v>3286.8</c:v>
                </c:pt>
                <c:pt idx="13">
                  <c:v>3110</c:v>
                </c:pt>
                <c:pt idx="14">
                  <c:v>3322</c:v>
                </c:pt>
                <c:pt idx="15">
                  <c:v>4154</c:v>
                </c:pt>
                <c:pt idx="16">
                  <c:v>3456</c:v>
                </c:pt>
              </c:numCache>
            </c:numRef>
          </c:val>
          <c:smooth val="0"/>
          <c:extLst>
            <c:ext xmlns:c16="http://schemas.microsoft.com/office/drawing/2014/chart" uri="{C3380CC4-5D6E-409C-BE32-E72D297353CC}">
              <c16:uniqueId val="{00000001-E2E4-4B2E-B9D8-CED59C688C55}"/>
            </c:ext>
          </c:extLst>
        </c:ser>
        <c:dLbls>
          <c:showLegendKey val="0"/>
          <c:showVal val="0"/>
          <c:showCatName val="0"/>
          <c:showSerName val="0"/>
          <c:showPercent val="0"/>
          <c:showBubbleSize val="0"/>
        </c:dLbls>
        <c:smooth val="0"/>
        <c:axId val="1667773359"/>
        <c:axId val="1670474255"/>
      </c:lineChart>
      <c:catAx>
        <c:axId val="16677733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74255"/>
        <c:crosses val="autoZero"/>
        <c:auto val="1"/>
        <c:lblAlgn val="ctr"/>
        <c:lblOffset val="100"/>
        <c:noMultiLvlLbl val="0"/>
      </c:catAx>
      <c:valAx>
        <c:axId val="16704742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773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'Data Determination'!$F$11</c:f>
              <c:strCache>
                <c:ptCount val="1"/>
                <c:pt idx="0">
                  <c:v>Coffee</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1"/>
            <c:dispEq val="1"/>
            <c:trendlineLbl>
              <c:layout>
                <c:manualLayout>
                  <c:x val="-1.9269466316710411E-3"/>
                  <c:y val="-0.1809722222222222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errBars>
            <c:errDir val="y"/>
            <c:errBarType val="both"/>
            <c:errValType val="stdErr"/>
            <c:noEndCap val="0"/>
            <c:spPr>
              <a:noFill/>
              <a:ln w="9525" cap="flat" cmpd="sng" algn="ctr">
                <a:solidFill>
                  <a:schemeClr val="tx1">
                    <a:lumMod val="65000"/>
                    <a:lumOff val="35000"/>
                  </a:schemeClr>
                </a:solidFill>
                <a:round/>
              </a:ln>
              <a:effectLst/>
            </c:spPr>
          </c:errBars>
          <c:val>
            <c:numRef>
              <c:f>'Data Determination'!$F$12:$F$28</c:f>
              <c:numCache>
                <c:formatCode>"$"#,##0</c:formatCode>
                <c:ptCount val="17"/>
                <c:pt idx="0">
                  <c:v>4630</c:v>
                </c:pt>
                <c:pt idx="1">
                  <c:v>4900</c:v>
                </c:pt>
                <c:pt idx="2">
                  <c:v>5267</c:v>
                </c:pt>
                <c:pt idx="3">
                  <c:v>5400</c:v>
                </c:pt>
                <c:pt idx="4">
                  <c:v>5612</c:v>
                </c:pt>
                <c:pt idx="5">
                  <c:v>5714</c:v>
                </c:pt>
                <c:pt idx="6">
                  <c:v>5923</c:v>
                </c:pt>
                <c:pt idx="7">
                  <c:v>6245</c:v>
                </c:pt>
                <c:pt idx="8">
                  <c:v>6332</c:v>
                </c:pt>
                <c:pt idx="9">
                  <c:v>6471</c:v>
                </c:pt>
                <c:pt idx="10">
                  <c:v>6698</c:v>
                </c:pt>
                <c:pt idx="11">
                  <c:v>6934</c:v>
                </c:pt>
                <c:pt idx="12">
                  <c:v>7198</c:v>
                </c:pt>
                <c:pt idx="13">
                  <c:v>7376</c:v>
                </c:pt>
                <c:pt idx="14">
                  <c:v>7560</c:v>
                </c:pt>
                <c:pt idx="15">
                  <c:v>7692</c:v>
                </c:pt>
                <c:pt idx="16">
                  <c:v>7823</c:v>
                </c:pt>
              </c:numCache>
            </c:numRef>
          </c:val>
          <c:smooth val="0"/>
          <c:extLst>
            <c:ext xmlns:c16="http://schemas.microsoft.com/office/drawing/2014/chart" uri="{C3380CC4-5D6E-409C-BE32-E72D297353CC}">
              <c16:uniqueId val="{00000001-F35F-451E-BD44-76BCF464C743}"/>
            </c:ext>
          </c:extLst>
        </c:ser>
        <c:dLbls>
          <c:showLegendKey val="0"/>
          <c:showVal val="0"/>
          <c:showCatName val="0"/>
          <c:showSerName val="0"/>
          <c:showPercent val="0"/>
          <c:showBubbleSize val="0"/>
        </c:dLbls>
        <c:smooth val="0"/>
        <c:axId val="2108789247"/>
        <c:axId val="2108777727"/>
      </c:lineChart>
      <c:catAx>
        <c:axId val="21087892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77727"/>
        <c:crosses val="autoZero"/>
        <c:auto val="1"/>
        <c:lblAlgn val="ctr"/>
        <c:lblOffset val="100"/>
        <c:noMultiLvlLbl val="0"/>
      </c:catAx>
      <c:valAx>
        <c:axId val="2108777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89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'Data Determination'!$G$11</c:f>
              <c:strCache>
                <c:ptCount val="1"/>
                <c:pt idx="0">
                  <c:v>Specialty Coffee</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poly"/>
            <c:order val="2"/>
            <c:dispRSqr val="1"/>
            <c:dispEq val="1"/>
            <c:trendlineLbl>
              <c:layout>
                <c:manualLayout>
                  <c:x val="-1.5354330708661416E-3"/>
                  <c:y val="-0.20203484981044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errBars>
            <c:errDir val="y"/>
            <c:errBarType val="both"/>
            <c:errValType val="stdErr"/>
            <c:noEndCap val="0"/>
            <c:spPr>
              <a:noFill/>
              <a:ln w="9525" cap="flat" cmpd="sng" algn="ctr">
                <a:solidFill>
                  <a:schemeClr val="tx1">
                    <a:lumMod val="65000"/>
                    <a:lumOff val="35000"/>
                  </a:schemeClr>
                </a:solidFill>
                <a:round/>
              </a:ln>
              <a:effectLst/>
            </c:spPr>
          </c:errBars>
          <c:val>
            <c:numRef>
              <c:f>'Data Determination'!$G$12:$G$28</c:f>
              <c:numCache>
                <c:formatCode>"$"#,##0</c:formatCode>
                <c:ptCount val="17"/>
                <c:pt idx="0">
                  <c:v>234</c:v>
                </c:pt>
                <c:pt idx="1">
                  <c:v>301</c:v>
                </c:pt>
                <c:pt idx="2">
                  <c:v>403</c:v>
                </c:pt>
                <c:pt idx="3">
                  <c:v>867</c:v>
                </c:pt>
                <c:pt idx="4">
                  <c:v>1212</c:v>
                </c:pt>
                <c:pt idx="5">
                  <c:v>1489</c:v>
                </c:pt>
                <c:pt idx="6">
                  <c:v>2021</c:v>
                </c:pt>
                <c:pt idx="7">
                  <c:v>2478</c:v>
                </c:pt>
                <c:pt idx="8">
                  <c:v>2997</c:v>
                </c:pt>
                <c:pt idx="9">
                  <c:v>3578</c:v>
                </c:pt>
                <c:pt idx="10">
                  <c:v>4012</c:v>
                </c:pt>
                <c:pt idx="11">
                  <c:v>4687</c:v>
                </c:pt>
                <c:pt idx="12">
                  <c:v>5289</c:v>
                </c:pt>
                <c:pt idx="13">
                  <c:v>6023</c:v>
                </c:pt>
                <c:pt idx="14">
                  <c:v>6598</c:v>
                </c:pt>
                <c:pt idx="15">
                  <c:v>7278</c:v>
                </c:pt>
                <c:pt idx="16">
                  <c:v>8034</c:v>
                </c:pt>
              </c:numCache>
            </c:numRef>
          </c:val>
          <c:smooth val="0"/>
          <c:extLst>
            <c:ext xmlns:c16="http://schemas.microsoft.com/office/drawing/2014/chart" uri="{C3380CC4-5D6E-409C-BE32-E72D297353CC}">
              <c16:uniqueId val="{00000001-EF92-4544-B87C-2B858DEE9643}"/>
            </c:ext>
          </c:extLst>
        </c:ser>
        <c:dLbls>
          <c:showLegendKey val="0"/>
          <c:showVal val="0"/>
          <c:showCatName val="0"/>
          <c:showSerName val="0"/>
          <c:showPercent val="0"/>
          <c:showBubbleSize val="0"/>
        </c:dLbls>
        <c:smooth val="0"/>
        <c:axId val="1792732879"/>
        <c:axId val="1792734319"/>
      </c:lineChart>
      <c:catAx>
        <c:axId val="17927328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734319"/>
        <c:crosses val="autoZero"/>
        <c:auto val="1"/>
        <c:lblAlgn val="ctr"/>
        <c:lblOffset val="100"/>
        <c:noMultiLvlLbl val="0"/>
      </c:catAx>
      <c:valAx>
        <c:axId val="1792734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732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35809616462042E-2"/>
          <c:y val="4.3140679271728155E-2"/>
          <c:w val="0.91570323274808041"/>
          <c:h val="0.74502805331151789"/>
        </c:manualLayout>
      </c:layout>
      <c:lineChart>
        <c:grouping val="standard"/>
        <c:varyColors val="0"/>
        <c:ser>
          <c:idx val="0"/>
          <c:order val="0"/>
          <c:tx>
            <c:strRef>
              <c:f>Forecast_Cookies!$B$1</c:f>
              <c:strCache>
                <c:ptCount val="1"/>
                <c:pt idx="0">
                  <c:v>Cookies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val>
            <c:numRef>
              <c:f>Forecast_Cookies!$B$2:$B$23</c:f>
              <c:numCache>
                <c:formatCode>"$"#,##0</c:formatCode>
                <c:ptCount val="22"/>
                <c:pt idx="0">
                  <c:v>45.712798731434759</c:v>
                </c:pt>
                <c:pt idx="1">
                  <c:v>72.350617798433547</c:v>
                </c:pt>
                <c:pt idx="2">
                  <c:v>111.90056268960458</c:v>
                </c:pt>
                <c:pt idx="3">
                  <c:v>167.40444913303236</c:v>
                </c:pt>
                <c:pt idx="4">
                  <c:v>239.43850654016259</c:v>
                </c:pt>
                <c:pt idx="5">
                  <c:v>323.99894775039195</c:v>
                </c:pt>
                <c:pt idx="6">
                  <c:v>412.31900905029426</c:v>
                </c:pt>
                <c:pt idx="7">
                  <c:v>493.99424788137514</c:v>
                </c:pt>
                <c:pt idx="8">
                  <c:v>561.45033751607934</c:v>
                </c:pt>
                <c:pt idx="9">
                  <c:v>612.1506128246599</c:v>
                </c:pt>
                <c:pt idx="10">
                  <c:v>647.62158093881692</c:v>
                </c:pt>
                <c:pt idx="11">
                  <c:v>671.2115253496122</c:v>
                </c:pt>
                <c:pt idx="12">
                  <c:v>686.37575305856012</c:v>
                </c:pt>
                <c:pt idx="13">
                  <c:v>695.91178823338214</c:v>
                </c:pt>
                <c:pt idx="14">
                  <c:v>701.82587986351939</c:v>
                </c:pt>
                <c:pt idx="15">
                  <c:v>705.46218529121825</c:v>
                </c:pt>
                <c:pt idx="16">
                  <c:v>707.68613222247166</c:v>
                </c:pt>
              </c:numCache>
            </c:numRef>
          </c:val>
          <c:smooth val="0"/>
          <c:extLst>
            <c:ext xmlns:c16="http://schemas.microsoft.com/office/drawing/2014/chart" uri="{C3380CC4-5D6E-409C-BE32-E72D297353CC}">
              <c16:uniqueId val="{00000000-7758-42FF-8AC5-79DEFF05CA4A}"/>
            </c:ext>
          </c:extLst>
        </c:ser>
        <c:ser>
          <c:idx val="1"/>
          <c:order val="1"/>
          <c:tx>
            <c:strRef>
              <c:f>Forecast_Cookies!$C$1</c:f>
              <c:strCache>
                <c:ptCount val="1"/>
                <c:pt idx="0">
                  <c:v>Forecast(Cookies)</c:v>
                </c:pt>
              </c:strCache>
            </c:strRef>
          </c:tx>
          <c:spPr>
            <a:ln w="25400" cap="rnd">
              <a:solidFill>
                <a:schemeClr val="accent2"/>
              </a:solidFill>
              <a:round/>
            </a:ln>
            <a:effectLst/>
          </c:spPr>
          <c:marker>
            <c:symbol val="none"/>
          </c:marker>
          <c:cat>
            <c:numRef>
              <c:f>Forecast_Cookies!$A$2:$A$23</c:f>
              <c:numCache>
                <c:formatCode>d\-mmm</c:formatCode>
                <c:ptCount val="22"/>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numCache>
            </c:numRef>
          </c:cat>
          <c:val>
            <c:numRef>
              <c:f>Forecast_Cookies!$C$2:$C$23</c:f>
              <c:numCache>
                <c:formatCode>General</c:formatCode>
                <c:ptCount val="22"/>
                <c:pt idx="16" formatCode="&quot;$&quot;#,##0">
                  <c:v>707.68613222247166</c:v>
                </c:pt>
                <c:pt idx="17" formatCode="&quot;$&quot;#,##0">
                  <c:v>709.96911190589083</c:v>
                </c:pt>
                <c:pt idx="18" formatCode="&quot;$&quot;#,##0">
                  <c:v>712.10085084866409</c:v>
                </c:pt>
                <c:pt idx="19" formatCode="&quot;$&quot;#,##0">
                  <c:v>714.23258979143736</c:v>
                </c:pt>
                <c:pt idx="20" formatCode="&quot;$&quot;#,##0">
                  <c:v>716.36432873421063</c:v>
                </c:pt>
                <c:pt idx="21" formatCode="&quot;$&quot;#,##0">
                  <c:v>718.4960676769839</c:v>
                </c:pt>
              </c:numCache>
            </c:numRef>
          </c:val>
          <c:smooth val="0"/>
          <c:extLst>
            <c:ext xmlns:c16="http://schemas.microsoft.com/office/drawing/2014/chart" uri="{C3380CC4-5D6E-409C-BE32-E72D297353CC}">
              <c16:uniqueId val="{00000001-7758-42FF-8AC5-79DEFF05CA4A}"/>
            </c:ext>
          </c:extLst>
        </c:ser>
        <c:ser>
          <c:idx val="2"/>
          <c:order val="2"/>
          <c:tx>
            <c:strRef>
              <c:f>Forecast_Cookies!$D$1</c:f>
              <c:strCache>
                <c:ptCount val="1"/>
                <c:pt idx="0">
                  <c:v>Lower Confidence Bound(Cookies)</c:v>
                </c:pt>
              </c:strCache>
            </c:strRef>
          </c:tx>
          <c:spPr>
            <a:ln w="12700" cap="rnd">
              <a:solidFill>
                <a:srgbClr val="ED7D31"/>
              </a:solidFill>
              <a:prstDash val="solid"/>
              <a:round/>
            </a:ln>
            <a:effectLst/>
          </c:spPr>
          <c:marker>
            <c:symbol val="none"/>
          </c:marker>
          <c:cat>
            <c:numRef>
              <c:f>Forecast_Cookies!$A$2:$A$23</c:f>
              <c:numCache>
                <c:formatCode>d\-mmm</c:formatCode>
                <c:ptCount val="22"/>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numCache>
            </c:numRef>
          </c:cat>
          <c:val>
            <c:numRef>
              <c:f>Forecast_Cookies!$D$2:$D$23</c:f>
              <c:numCache>
                <c:formatCode>General</c:formatCode>
                <c:ptCount val="22"/>
                <c:pt idx="16" formatCode="&quot;$&quot;#,##0">
                  <c:v>707.68613222247166</c:v>
                </c:pt>
                <c:pt idx="17" formatCode="&quot;$&quot;#,##0">
                  <c:v>684.65571787836575</c:v>
                </c:pt>
                <c:pt idx="18" formatCode="&quot;$&quot;#,##0">
                  <c:v>659.99950878184916</c:v>
                </c:pt>
                <c:pt idx="19" formatCode="&quot;$&quot;#,##0">
                  <c:v>628.33247203212136</c:v>
                </c:pt>
                <c:pt idx="20" formatCode="&quot;$&quot;#,##0">
                  <c:v>591.18706395429069</c:v>
                </c:pt>
                <c:pt idx="21" formatCode="&quot;$&quot;#,##0">
                  <c:v>549.31616181283289</c:v>
                </c:pt>
              </c:numCache>
            </c:numRef>
          </c:val>
          <c:smooth val="0"/>
          <c:extLst>
            <c:ext xmlns:c16="http://schemas.microsoft.com/office/drawing/2014/chart" uri="{C3380CC4-5D6E-409C-BE32-E72D297353CC}">
              <c16:uniqueId val="{00000002-7758-42FF-8AC5-79DEFF05CA4A}"/>
            </c:ext>
          </c:extLst>
        </c:ser>
        <c:ser>
          <c:idx val="3"/>
          <c:order val="3"/>
          <c:tx>
            <c:strRef>
              <c:f>Forecast_Cookies!$E$1</c:f>
              <c:strCache>
                <c:ptCount val="1"/>
                <c:pt idx="0">
                  <c:v>Upper Confidence Bound(Cookies)</c:v>
                </c:pt>
              </c:strCache>
            </c:strRef>
          </c:tx>
          <c:spPr>
            <a:ln w="12700" cap="rnd">
              <a:solidFill>
                <a:srgbClr val="ED7D31"/>
              </a:solidFill>
              <a:prstDash val="solid"/>
              <a:round/>
            </a:ln>
            <a:effectLst/>
          </c:spPr>
          <c:marker>
            <c:symbol val="none"/>
          </c:marker>
          <c:cat>
            <c:numRef>
              <c:f>Forecast_Cookies!$A$2:$A$23</c:f>
              <c:numCache>
                <c:formatCode>d\-mmm</c:formatCode>
                <c:ptCount val="22"/>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numCache>
            </c:numRef>
          </c:cat>
          <c:val>
            <c:numRef>
              <c:f>Forecast_Cookies!$E$2:$E$23</c:f>
              <c:numCache>
                <c:formatCode>General</c:formatCode>
                <c:ptCount val="22"/>
                <c:pt idx="16" formatCode="&quot;$&quot;#,##0">
                  <c:v>707.68613222247166</c:v>
                </c:pt>
                <c:pt idx="17" formatCode="&quot;$&quot;#,##0">
                  <c:v>735.28250593341591</c:v>
                </c:pt>
                <c:pt idx="18" formatCode="&quot;$&quot;#,##0">
                  <c:v>764.20219291547903</c:v>
                </c:pt>
                <c:pt idx="19" formatCode="&quot;$&quot;#,##0">
                  <c:v>800.13270755075337</c:v>
                </c:pt>
                <c:pt idx="20" formatCode="&quot;$&quot;#,##0">
                  <c:v>841.54159351413057</c:v>
                </c:pt>
                <c:pt idx="21" formatCode="&quot;$&quot;#,##0">
                  <c:v>887.67597354113491</c:v>
                </c:pt>
              </c:numCache>
            </c:numRef>
          </c:val>
          <c:smooth val="0"/>
          <c:extLst>
            <c:ext xmlns:c16="http://schemas.microsoft.com/office/drawing/2014/chart" uri="{C3380CC4-5D6E-409C-BE32-E72D297353CC}">
              <c16:uniqueId val="{00000003-7758-42FF-8AC5-79DEFF05CA4A}"/>
            </c:ext>
          </c:extLst>
        </c:ser>
        <c:dLbls>
          <c:showLegendKey val="0"/>
          <c:showVal val="0"/>
          <c:showCatName val="0"/>
          <c:showSerName val="0"/>
          <c:showPercent val="0"/>
          <c:showBubbleSize val="0"/>
        </c:dLbls>
        <c:smooth val="0"/>
        <c:axId val="1928664320"/>
        <c:axId val="1928665280"/>
      </c:lineChart>
      <c:catAx>
        <c:axId val="192866432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65280"/>
        <c:crosses val="autoZero"/>
        <c:auto val="1"/>
        <c:lblAlgn val="ctr"/>
        <c:lblOffset val="100"/>
        <c:noMultiLvlLbl val="0"/>
      </c:catAx>
      <c:valAx>
        <c:axId val="1928665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64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Forecast_Soda!$B$1</c:f>
              <c:strCache>
                <c:ptCount val="1"/>
                <c:pt idx="0">
                  <c:v>Soda</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5.8540461503978299E-2"/>
                  <c:y val="-0.260947889444015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errBars>
            <c:errDir val="y"/>
            <c:errBarType val="both"/>
            <c:errValType val="stdErr"/>
            <c:noEndCap val="0"/>
            <c:spPr>
              <a:noFill/>
              <a:ln w="9525" cap="flat" cmpd="sng" algn="ctr">
                <a:solidFill>
                  <a:schemeClr val="tx1">
                    <a:lumMod val="65000"/>
                    <a:lumOff val="35000"/>
                  </a:schemeClr>
                </a:solidFill>
                <a:round/>
              </a:ln>
              <a:effectLst/>
            </c:spPr>
          </c:errBars>
          <c:val>
            <c:numRef>
              <c:f>Forecast_Soda!$B$2:$B$26</c:f>
              <c:numCache>
                <c:formatCode>General</c:formatCode>
                <c:ptCount val="25"/>
                <c:pt idx="0">
                  <c:v>2988.6</c:v>
                </c:pt>
                <c:pt idx="1">
                  <c:v>3071.2</c:v>
                </c:pt>
                <c:pt idx="2">
                  <c:v>3019.8</c:v>
                </c:pt>
                <c:pt idx="3">
                  <c:v>3621</c:v>
                </c:pt>
                <c:pt idx="4">
                  <c:v>3012</c:v>
                </c:pt>
                <c:pt idx="5">
                  <c:v>3159</c:v>
                </c:pt>
                <c:pt idx="6">
                  <c:v>3126.2</c:v>
                </c:pt>
                <c:pt idx="7">
                  <c:v>3798</c:v>
                </c:pt>
                <c:pt idx="8">
                  <c:v>3089</c:v>
                </c:pt>
                <c:pt idx="9">
                  <c:v>3194</c:v>
                </c:pt>
                <c:pt idx="10">
                  <c:v>3227.6</c:v>
                </c:pt>
                <c:pt idx="11">
                  <c:v>3926</c:v>
                </c:pt>
                <c:pt idx="12">
                  <c:v>3286.8</c:v>
                </c:pt>
                <c:pt idx="13">
                  <c:v>3110</c:v>
                </c:pt>
                <c:pt idx="14">
                  <c:v>3322</c:v>
                </c:pt>
                <c:pt idx="15">
                  <c:v>4154</c:v>
                </c:pt>
                <c:pt idx="16">
                  <c:v>3456</c:v>
                </c:pt>
              </c:numCache>
            </c:numRef>
          </c:val>
          <c:smooth val="0"/>
          <c:extLst>
            <c:ext xmlns:c16="http://schemas.microsoft.com/office/drawing/2014/chart" uri="{C3380CC4-5D6E-409C-BE32-E72D297353CC}">
              <c16:uniqueId val="{00000000-C14A-421C-884B-7BDC2BBC5DC8}"/>
            </c:ext>
          </c:extLst>
        </c:ser>
        <c:ser>
          <c:idx val="1"/>
          <c:order val="1"/>
          <c:tx>
            <c:strRef>
              <c:f>Forecast_Soda!$C$1</c:f>
              <c:strCache>
                <c:ptCount val="1"/>
                <c:pt idx="0">
                  <c:v>Forecast(Soda)</c:v>
                </c:pt>
              </c:strCache>
            </c:strRef>
          </c:tx>
          <c:spPr>
            <a:ln w="25400" cap="rnd">
              <a:solidFill>
                <a:schemeClr val="accent2"/>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f>Forecast_Soda!$A$2:$A$26</c:f>
              <c:numCache>
                <c:formatCode>d\-mmm</c:formatCode>
                <c:ptCount val="25"/>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pt idx="22">
                  <c:v>45618</c:v>
                </c:pt>
                <c:pt idx="23">
                  <c:v>45648</c:v>
                </c:pt>
                <c:pt idx="24">
                  <c:v>45679</c:v>
                </c:pt>
              </c:numCache>
            </c:numRef>
          </c:cat>
          <c:val>
            <c:numRef>
              <c:f>Forecast_Soda!$C$2:$C$26</c:f>
              <c:numCache>
                <c:formatCode>General</c:formatCode>
                <c:ptCount val="25"/>
                <c:pt idx="16">
                  <c:v>3456</c:v>
                </c:pt>
                <c:pt idx="17">
                  <c:v>3579.6981708894396</c:v>
                </c:pt>
                <c:pt idx="18">
                  <c:v>3563.7404307093625</c:v>
                </c:pt>
                <c:pt idx="19">
                  <c:v>4223.0001254529298</c:v>
                </c:pt>
                <c:pt idx="20">
                  <c:v>3566.0482026143795</c:v>
                </c:pt>
                <c:pt idx="21">
                  <c:v>3689.7463735038186</c:v>
                </c:pt>
                <c:pt idx="22">
                  <c:v>3673.788633323742</c:v>
                </c:pt>
                <c:pt idx="23">
                  <c:v>4333.0483280673088</c:v>
                </c:pt>
                <c:pt idx="24">
                  <c:v>3676.0964052287591</c:v>
                </c:pt>
              </c:numCache>
            </c:numRef>
          </c:val>
          <c:smooth val="0"/>
          <c:extLst>
            <c:ext xmlns:c16="http://schemas.microsoft.com/office/drawing/2014/chart" uri="{C3380CC4-5D6E-409C-BE32-E72D297353CC}">
              <c16:uniqueId val="{00000001-C14A-421C-884B-7BDC2BBC5DC8}"/>
            </c:ext>
          </c:extLst>
        </c:ser>
        <c:ser>
          <c:idx val="2"/>
          <c:order val="2"/>
          <c:tx>
            <c:strRef>
              <c:f>Forecast_Soda!$D$1</c:f>
              <c:strCache>
                <c:ptCount val="1"/>
                <c:pt idx="0">
                  <c:v>Lower Confidence Bound(Soda)</c:v>
                </c:pt>
              </c:strCache>
            </c:strRef>
          </c:tx>
          <c:spPr>
            <a:ln w="12700" cap="rnd">
              <a:solidFill>
                <a:srgbClr val="ED7D31"/>
              </a:solidFill>
              <a:prstDash val="solid"/>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f>Forecast_Soda!$A$2:$A$26</c:f>
              <c:numCache>
                <c:formatCode>d\-mmm</c:formatCode>
                <c:ptCount val="25"/>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pt idx="22">
                  <c:v>45618</c:v>
                </c:pt>
                <c:pt idx="23">
                  <c:v>45648</c:v>
                </c:pt>
                <c:pt idx="24">
                  <c:v>45679</c:v>
                </c:pt>
              </c:numCache>
            </c:numRef>
          </c:cat>
          <c:val>
            <c:numRef>
              <c:f>Forecast_Soda!$D$2:$D$26</c:f>
              <c:numCache>
                <c:formatCode>General</c:formatCode>
                <c:ptCount val="25"/>
                <c:pt idx="16" formatCode="0.00">
                  <c:v>3456</c:v>
                </c:pt>
                <c:pt idx="17" formatCode="0.00">
                  <c:v>3347.1836913080888</c:v>
                </c:pt>
                <c:pt idx="18" formatCode="0.00">
                  <c:v>3235.0796716788295</c:v>
                </c:pt>
                <c:pt idx="19" formatCode="0.00">
                  <c:v>3820.4074308576196</c:v>
                </c:pt>
                <c:pt idx="20" formatCode="0.00">
                  <c:v>3101.0191271944523</c:v>
                </c:pt>
                <c:pt idx="21" formatCode="0.00">
                  <c:v>3169.5157624599879</c:v>
                </c:pt>
                <c:pt idx="22" formatCode="0.00">
                  <c:v>3103.6765949065875</c:v>
                </c:pt>
                <c:pt idx="23" formatCode="0.00">
                  <c:v>3716.9930639581539</c:v>
                </c:pt>
                <c:pt idx="24" formatCode="0.00">
                  <c:v>3017.2117013098432</c:v>
                </c:pt>
              </c:numCache>
            </c:numRef>
          </c:val>
          <c:smooth val="0"/>
          <c:extLst>
            <c:ext xmlns:c16="http://schemas.microsoft.com/office/drawing/2014/chart" uri="{C3380CC4-5D6E-409C-BE32-E72D297353CC}">
              <c16:uniqueId val="{00000002-C14A-421C-884B-7BDC2BBC5DC8}"/>
            </c:ext>
          </c:extLst>
        </c:ser>
        <c:ser>
          <c:idx val="3"/>
          <c:order val="3"/>
          <c:tx>
            <c:strRef>
              <c:f>Forecast_Soda!$E$1</c:f>
              <c:strCache>
                <c:ptCount val="1"/>
                <c:pt idx="0">
                  <c:v>Upper Confidence Bound(Soda)</c:v>
                </c:pt>
              </c:strCache>
            </c:strRef>
          </c:tx>
          <c:spPr>
            <a:ln w="12700" cap="rnd">
              <a:solidFill>
                <a:srgbClr val="ED7D31"/>
              </a:solidFill>
              <a:prstDash val="solid"/>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f>Forecast_Soda!$A$2:$A$26</c:f>
              <c:numCache>
                <c:formatCode>d\-mmm</c:formatCode>
                <c:ptCount val="25"/>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pt idx="22">
                  <c:v>45618</c:v>
                </c:pt>
                <c:pt idx="23">
                  <c:v>45648</c:v>
                </c:pt>
                <c:pt idx="24">
                  <c:v>45679</c:v>
                </c:pt>
              </c:numCache>
            </c:numRef>
          </c:cat>
          <c:val>
            <c:numRef>
              <c:f>Forecast_Soda!$E$2:$E$26</c:f>
              <c:numCache>
                <c:formatCode>General</c:formatCode>
                <c:ptCount val="25"/>
                <c:pt idx="16" formatCode="0.00">
                  <c:v>3456</c:v>
                </c:pt>
                <c:pt idx="17" formatCode="0.00">
                  <c:v>3812.2126504707903</c:v>
                </c:pt>
                <c:pt idx="18" formatCode="0.00">
                  <c:v>3892.4011897398955</c:v>
                </c:pt>
                <c:pt idx="19" formatCode="0.00">
                  <c:v>4625.5928200482394</c:v>
                </c:pt>
                <c:pt idx="20" formatCode="0.00">
                  <c:v>4031.0772780343068</c:v>
                </c:pt>
                <c:pt idx="21" formatCode="0.00">
                  <c:v>4209.9769845476494</c:v>
                </c:pt>
                <c:pt idx="22" formatCode="0.00">
                  <c:v>4243.9006717408965</c:v>
                </c:pt>
                <c:pt idx="23" formatCode="0.00">
                  <c:v>4949.1035921764633</c:v>
                </c:pt>
                <c:pt idx="24" formatCode="0.00">
                  <c:v>4334.9811091476749</c:v>
                </c:pt>
              </c:numCache>
            </c:numRef>
          </c:val>
          <c:smooth val="0"/>
          <c:extLst>
            <c:ext xmlns:c16="http://schemas.microsoft.com/office/drawing/2014/chart" uri="{C3380CC4-5D6E-409C-BE32-E72D297353CC}">
              <c16:uniqueId val="{00000003-C14A-421C-884B-7BDC2BBC5DC8}"/>
            </c:ext>
          </c:extLst>
        </c:ser>
        <c:dLbls>
          <c:showLegendKey val="0"/>
          <c:showVal val="0"/>
          <c:showCatName val="0"/>
          <c:showSerName val="0"/>
          <c:showPercent val="0"/>
          <c:showBubbleSize val="0"/>
        </c:dLbls>
        <c:smooth val="0"/>
        <c:axId val="1928653280"/>
        <c:axId val="1928648480"/>
      </c:lineChart>
      <c:catAx>
        <c:axId val="192865328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48480"/>
        <c:crosses val="autoZero"/>
        <c:auto val="1"/>
        <c:lblAlgn val="ctr"/>
        <c:lblOffset val="100"/>
        <c:noMultiLvlLbl val="0"/>
      </c:catAx>
      <c:valAx>
        <c:axId val="192864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5328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670774848796074E-2"/>
          <c:y val="4.1558441558441558E-2"/>
          <c:w val="0.91942172445835579"/>
          <c:h val="0.74502805331151789"/>
        </c:manualLayout>
      </c:layout>
      <c:lineChart>
        <c:grouping val="standard"/>
        <c:varyColors val="0"/>
        <c:ser>
          <c:idx val="0"/>
          <c:order val="0"/>
          <c:tx>
            <c:strRef>
              <c:f>Forecast_Coffee!$B$1</c:f>
              <c:strCache>
                <c:ptCount val="1"/>
                <c:pt idx="0">
                  <c:v>Coffee</c:v>
                </c:pt>
              </c:strCache>
            </c:strRef>
          </c:tx>
          <c:spPr>
            <a:ln w="28575" cap="rnd">
              <a:solidFill>
                <a:schemeClr val="accent1"/>
              </a:solidFill>
              <a:round/>
            </a:ln>
            <a:effectLst/>
          </c:spPr>
          <c:marker>
            <c:symbol val="none"/>
          </c:marker>
          <c:val>
            <c:numRef>
              <c:f>Forecast_Coffee!$B$2:$B$23</c:f>
              <c:numCache>
                <c:formatCode>General</c:formatCode>
                <c:ptCount val="22"/>
                <c:pt idx="0">
                  <c:v>4630</c:v>
                </c:pt>
                <c:pt idx="1">
                  <c:v>4900</c:v>
                </c:pt>
                <c:pt idx="2">
                  <c:v>5267</c:v>
                </c:pt>
                <c:pt idx="3">
                  <c:v>5400</c:v>
                </c:pt>
                <c:pt idx="4">
                  <c:v>5612</c:v>
                </c:pt>
                <c:pt idx="5">
                  <c:v>5714</c:v>
                </c:pt>
                <c:pt idx="6">
                  <c:v>5923</c:v>
                </c:pt>
                <c:pt idx="7">
                  <c:v>6245</c:v>
                </c:pt>
                <c:pt idx="8">
                  <c:v>6332</c:v>
                </c:pt>
                <c:pt idx="9">
                  <c:v>6471</c:v>
                </c:pt>
                <c:pt idx="10">
                  <c:v>6698</c:v>
                </c:pt>
                <c:pt idx="11">
                  <c:v>6934</c:v>
                </c:pt>
                <c:pt idx="12">
                  <c:v>7198</c:v>
                </c:pt>
                <c:pt idx="13">
                  <c:v>7376</c:v>
                </c:pt>
                <c:pt idx="14">
                  <c:v>7560</c:v>
                </c:pt>
                <c:pt idx="15">
                  <c:v>7692</c:v>
                </c:pt>
                <c:pt idx="16">
                  <c:v>7823</c:v>
                </c:pt>
              </c:numCache>
            </c:numRef>
          </c:val>
          <c:smooth val="0"/>
          <c:extLst>
            <c:ext xmlns:c16="http://schemas.microsoft.com/office/drawing/2014/chart" uri="{C3380CC4-5D6E-409C-BE32-E72D297353CC}">
              <c16:uniqueId val="{00000000-B7AF-44BF-BB77-0489EC61FFD8}"/>
            </c:ext>
          </c:extLst>
        </c:ser>
        <c:ser>
          <c:idx val="1"/>
          <c:order val="1"/>
          <c:tx>
            <c:strRef>
              <c:f>Forecast_Coffee!$C$1</c:f>
              <c:strCache>
                <c:ptCount val="1"/>
                <c:pt idx="0">
                  <c:v>Forecast(Coffee)</c:v>
                </c:pt>
              </c:strCache>
            </c:strRef>
          </c:tx>
          <c:spPr>
            <a:ln w="25400" cap="rnd">
              <a:solidFill>
                <a:schemeClr val="accent2"/>
              </a:solidFill>
              <a:round/>
            </a:ln>
            <a:effectLst/>
          </c:spPr>
          <c:marker>
            <c:symbol val="none"/>
          </c:marker>
          <c:cat>
            <c:numRef>
              <c:f>Forecast_Coffee!$A$2:$A$23</c:f>
              <c:numCache>
                <c:formatCode>d\-mmm</c:formatCode>
                <c:ptCount val="22"/>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numCache>
            </c:numRef>
          </c:cat>
          <c:val>
            <c:numRef>
              <c:f>Forecast_Coffee!$C$2:$C$23</c:f>
              <c:numCache>
                <c:formatCode>General</c:formatCode>
                <c:ptCount val="22"/>
                <c:pt idx="16">
                  <c:v>7823</c:v>
                </c:pt>
                <c:pt idx="17">
                  <c:v>8070.5488087644453</c:v>
                </c:pt>
                <c:pt idx="18">
                  <c:v>8268.0312347258387</c:v>
                </c:pt>
                <c:pt idx="19">
                  <c:v>8465.5136606872311</c:v>
                </c:pt>
                <c:pt idx="20">
                  <c:v>8662.9960866486235</c:v>
                </c:pt>
                <c:pt idx="21">
                  <c:v>8860.4785126100178</c:v>
                </c:pt>
              </c:numCache>
            </c:numRef>
          </c:val>
          <c:smooth val="0"/>
          <c:extLst>
            <c:ext xmlns:c16="http://schemas.microsoft.com/office/drawing/2014/chart" uri="{C3380CC4-5D6E-409C-BE32-E72D297353CC}">
              <c16:uniqueId val="{00000001-B7AF-44BF-BB77-0489EC61FFD8}"/>
            </c:ext>
          </c:extLst>
        </c:ser>
        <c:ser>
          <c:idx val="2"/>
          <c:order val="2"/>
          <c:tx>
            <c:strRef>
              <c:f>Forecast_Coffee!$D$1</c:f>
              <c:strCache>
                <c:ptCount val="1"/>
                <c:pt idx="0">
                  <c:v>Lower Confidence Bound(Coffee)</c:v>
                </c:pt>
              </c:strCache>
            </c:strRef>
          </c:tx>
          <c:spPr>
            <a:ln w="12700" cap="rnd">
              <a:solidFill>
                <a:srgbClr val="ED7D31"/>
              </a:solidFill>
              <a:prstDash val="solid"/>
              <a:round/>
            </a:ln>
            <a:effectLst/>
          </c:spPr>
          <c:marker>
            <c:symbol val="none"/>
          </c:marker>
          <c:cat>
            <c:numRef>
              <c:f>Forecast_Coffee!$A$2:$A$23</c:f>
              <c:numCache>
                <c:formatCode>d\-mmm</c:formatCode>
                <c:ptCount val="22"/>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numCache>
            </c:numRef>
          </c:cat>
          <c:val>
            <c:numRef>
              <c:f>Forecast_Coffee!$D$2:$D$23</c:f>
              <c:numCache>
                <c:formatCode>General</c:formatCode>
                <c:ptCount val="22"/>
                <c:pt idx="16" formatCode="0.00">
                  <c:v>7823</c:v>
                </c:pt>
                <c:pt idx="17" formatCode="0.00">
                  <c:v>7917.99788574165</c:v>
                </c:pt>
                <c:pt idx="18" formatCode="0.00">
                  <c:v>8097.4058403679564</c:v>
                </c:pt>
                <c:pt idx="19" formatCode="0.00">
                  <c:v>8278.4906463710086</c:v>
                </c:pt>
                <c:pt idx="20" formatCode="0.00">
                  <c:v>8460.8437215595513</c:v>
                </c:pt>
                <c:pt idx="21" formatCode="0.00">
                  <c:v>8644.1986378530528</c:v>
                </c:pt>
              </c:numCache>
            </c:numRef>
          </c:val>
          <c:smooth val="0"/>
          <c:extLst>
            <c:ext xmlns:c16="http://schemas.microsoft.com/office/drawing/2014/chart" uri="{C3380CC4-5D6E-409C-BE32-E72D297353CC}">
              <c16:uniqueId val="{00000002-B7AF-44BF-BB77-0489EC61FFD8}"/>
            </c:ext>
          </c:extLst>
        </c:ser>
        <c:ser>
          <c:idx val="3"/>
          <c:order val="3"/>
          <c:tx>
            <c:strRef>
              <c:f>Forecast_Coffee!$E$1</c:f>
              <c:strCache>
                <c:ptCount val="1"/>
                <c:pt idx="0">
                  <c:v>Upper Confidence Bound(Coffee)</c:v>
                </c:pt>
              </c:strCache>
            </c:strRef>
          </c:tx>
          <c:spPr>
            <a:ln w="12700" cap="rnd">
              <a:solidFill>
                <a:srgbClr val="ED7D31"/>
              </a:solidFill>
              <a:prstDash val="solid"/>
              <a:round/>
            </a:ln>
            <a:effectLst/>
          </c:spPr>
          <c:marker>
            <c:symbol val="none"/>
          </c:marker>
          <c:cat>
            <c:numRef>
              <c:f>Forecast_Coffee!$A$2:$A$23</c:f>
              <c:numCache>
                <c:formatCode>d\-mmm</c:formatCode>
                <c:ptCount val="22"/>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numCache>
            </c:numRef>
          </c:cat>
          <c:val>
            <c:numRef>
              <c:f>Forecast_Coffee!$E$2:$E$23</c:f>
              <c:numCache>
                <c:formatCode>General</c:formatCode>
                <c:ptCount val="22"/>
                <c:pt idx="16" formatCode="0.00">
                  <c:v>7823</c:v>
                </c:pt>
                <c:pt idx="17" formatCode="0.00">
                  <c:v>8223.0997317872407</c:v>
                </c:pt>
                <c:pt idx="18" formatCode="0.00">
                  <c:v>8438.6566290837218</c:v>
                </c:pt>
                <c:pt idx="19" formatCode="0.00">
                  <c:v>8652.5366750034536</c:v>
                </c:pt>
                <c:pt idx="20" formatCode="0.00">
                  <c:v>8865.1484517376957</c:v>
                </c:pt>
                <c:pt idx="21" formatCode="0.00">
                  <c:v>9076.7583873669828</c:v>
                </c:pt>
              </c:numCache>
            </c:numRef>
          </c:val>
          <c:smooth val="0"/>
          <c:extLst>
            <c:ext xmlns:c16="http://schemas.microsoft.com/office/drawing/2014/chart" uri="{C3380CC4-5D6E-409C-BE32-E72D297353CC}">
              <c16:uniqueId val="{00000003-B7AF-44BF-BB77-0489EC61FFD8}"/>
            </c:ext>
          </c:extLst>
        </c:ser>
        <c:dLbls>
          <c:showLegendKey val="0"/>
          <c:showVal val="0"/>
          <c:showCatName val="0"/>
          <c:showSerName val="0"/>
          <c:showPercent val="0"/>
          <c:showBubbleSize val="0"/>
        </c:dLbls>
        <c:smooth val="0"/>
        <c:axId val="1928676320"/>
        <c:axId val="1928677280"/>
      </c:lineChart>
      <c:catAx>
        <c:axId val="192867632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77280"/>
        <c:crosses val="autoZero"/>
        <c:auto val="1"/>
        <c:lblAlgn val="ctr"/>
        <c:lblOffset val="100"/>
        <c:noMultiLvlLbl val="0"/>
      </c:catAx>
      <c:valAx>
        <c:axId val="192867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76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'Forecast_Speciaity '!$B$1</c:f>
              <c:strCache>
                <c:ptCount val="1"/>
                <c:pt idx="0">
                  <c:v>Specialty Coffee</c:v>
                </c:pt>
              </c:strCache>
            </c:strRef>
          </c:tx>
          <c:spPr>
            <a:ln w="28575" cap="rnd">
              <a:solidFill>
                <a:schemeClr val="accent1"/>
              </a:solidFill>
              <a:round/>
            </a:ln>
            <a:effectLst/>
          </c:spPr>
          <c:marker>
            <c:symbol val="none"/>
          </c:marker>
          <c:val>
            <c:numRef>
              <c:f>'Forecast_Speciaity '!$B$2:$B$23</c:f>
              <c:numCache>
                <c:formatCode>General</c:formatCode>
                <c:ptCount val="22"/>
                <c:pt idx="0">
                  <c:v>234</c:v>
                </c:pt>
                <c:pt idx="1">
                  <c:v>301</c:v>
                </c:pt>
                <c:pt idx="2">
                  <c:v>403</c:v>
                </c:pt>
                <c:pt idx="3">
                  <c:v>867</c:v>
                </c:pt>
                <c:pt idx="4">
                  <c:v>1212</c:v>
                </c:pt>
                <c:pt idx="5">
                  <c:v>1489</c:v>
                </c:pt>
                <c:pt idx="6">
                  <c:v>2021</c:v>
                </c:pt>
                <c:pt idx="7">
                  <c:v>2478</c:v>
                </c:pt>
                <c:pt idx="8">
                  <c:v>2997</c:v>
                </c:pt>
                <c:pt idx="9">
                  <c:v>3578</c:v>
                </c:pt>
                <c:pt idx="10">
                  <c:v>4012</c:v>
                </c:pt>
                <c:pt idx="11">
                  <c:v>4687</c:v>
                </c:pt>
                <c:pt idx="12">
                  <c:v>5289</c:v>
                </c:pt>
                <c:pt idx="13">
                  <c:v>6023</c:v>
                </c:pt>
                <c:pt idx="14">
                  <c:v>6598</c:v>
                </c:pt>
                <c:pt idx="15">
                  <c:v>7278</c:v>
                </c:pt>
                <c:pt idx="16">
                  <c:v>8034</c:v>
                </c:pt>
              </c:numCache>
            </c:numRef>
          </c:val>
          <c:smooth val="0"/>
          <c:extLst>
            <c:ext xmlns:c16="http://schemas.microsoft.com/office/drawing/2014/chart" uri="{C3380CC4-5D6E-409C-BE32-E72D297353CC}">
              <c16:uniqueId val="{00000000-D4B2-43DE-9369-408B9BB2F9BD}"/>
            </c:ext>
          </c:extLst>
        </c:ser>
        <c:ser>
          <c:idx val="1"/>
          <c:order val="1"/>
          <c:tx>
            <c:strRef>
              <c:f>'Forecast_Speciaity '!$C$1</c:f>
              <c:strCache>
                <c:ptCount val="1"/>
                <c:pt idx="0">
                  <c:v>Forecast(Specialty Coffee)</c:v>
                </c:pt>
              </c:strCache>
            </c:strRef>
          </c:tx>
          <c:spPr>
            <a:ln w="25400" cap="rnd">
              <a:solidFill>
                <a:schemeClr val="accent2"/>
              </a:solidFill>
              <a:round/>
            </a:ln>
            <a:effectLst/>
          </c:spPr>
          <c:marker>
            <c:symbol val="none"/>
          </c:marker>
          <c:cat>
            <c:numRef>
              <c:f>'Forecast_Speciaity '!$A$2:$A$23</c:f>
              <c:numCache>
                <c:formatCode>d\-mmm</c:formatCode>
                <c:ptCount val="22"/>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numCache>
            </c:numRef>
          </c:cat>
          <c:val>
            <c:numRef>
              <c:f>'Forecast_Speciaity '!$C$2:$C$23</c:f>
              <c:numCache>
                <c:formatCode>General</c:formatCode>
                <c:ptCount val="22"/>
                <c:pt idx="16">
                  <c:v>8034</c:v>
                </c:pt>
                <c:pt idx="17">
                  <c:v>8667.7574875937808</c:v>
                </c:pt>
                <c:pt idx="18">
                  <c:v>9344.5079868166613</c:v>
                </c:pt>
                <c:pt idx="19">
                  <c:v>10021.258486039542</c:v>
                </c:pt>
                <c:pt idx="20">
                  <c:v>10698.008985262422</c:v>
                </c:pt>
                <c:pt idx="21">
                  <c:v>11374.759484485303</c:v>
                </c:pt>
              </c:numCache>
            </c:numRef>
          </c:val>
          <c:smooth val="0"/>
          <c:extLst>
            <c:ext xmlns:c16="http://schemas.microsoft.com/office/drawing/2014/chart" uri="{C3380CC4-5D6E-409C-BE32-E72D297353CC}">
              <c16:uniqueId val="{00000001-D4B2-43DE-9369-408B9BB2F9BD}"/>
            </c:ext>
          </c:extLst>
        </c:ser>
        <c:ser>
          <c:idx val="2"/>
          <c:order val="2"/>
          <c:tx>
            <c:strRef>
              <c:f>'Forecast_Speciaity '!$D$1</c:f>
              <c:strCache>
                <c:ptCount val="1"/>
                <c:pt idx="0">
                  <c:v>Lower Confidence Bound(Specialty Coffee)</c:v>
                </c:pt>
              </c:strCache>
            </c:strRef>
          </c:tx>
          <c:spPr>
            <a:ln w="12700" cap="rnd">
              <a:solidFill>
                <a:srgbClr val="ED7D31"/>
              </a:solidFill>
              <a:prstDash val="solid"/>
              <a:round/>
            </a:ln>
            <a:effectLst/>
          </c:spPr>
          <c:marker>
            <c:symbol val="none"/>
          </c:marker>
          <c:cat>
            <c:numRef>
              <c:f>'Forecast_Speciaity '!$A$2:$A$23</c:f>
              <c:numCache>
                <c:formatCode>d\-mmm</c:formatCode>
                <c:ptCount val="22"/>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numCache>
            </c:numRef>
          </c:cat>
          <c:val>
            <c:numRef>
              <c:f>'Forecast_Speciaity '!$D$2:$D$23</c:f>
              <c:numCache>
                <c:formatCode>General</c:formatCode>
                <c:ptCount val="22"/>
                <c:pt idx="16" formatCode="0.00">
                  <c:v>8034</c:v>
                </c:pt>
                <c:pt idx="17" formatCode="0.00">
                  <c:v>8104.0384451192749</c:v>
                </c:pt>
                <c:pt idx="18" formatCode="0.00">
                  <c:v>8714.5028382815271</c:v>
                </c:pt>
                <c:pt idx="19" formatCode="0.00">
                  <c:v>9263.1653534541856</c:v>
                </c:pt>
                <c:pt idx="20" formatCode="0.00">
                  <c:v>9754.3032357934517</c:v>
                </c:pt>
                <c:pt idx="21" formatCode="0.00">
                  <c:v>10198.350639670103</c:v>
                </c:pt>
              </c:numCache>
            </c:numRef>
          </c:val>
          <c:smooth val="0"/>
          <c:extLst>
            <c:ext xmlns:c16="http://schemas.microsoft.com/office/drawing/2014/chart" uri="{C3380CC4-5D6E-409C-BE32-E72D297353CC}">
              <c16:uniqueId val="{00000002-D4B2-43DE-9369-408B9BB2F9BD}"/>
            </c:ext>
          </c:extLst>
        </c:ser>
        <c:ser>
          <c:idx val="3"/>
          <c:order val="3"/>
          <c:tx>
            <c:strRef>
              <c:f>'Forecast_Speciaity '!$E$1</c:f>
              <c:strCache>
                <c:ptCount val="1"/>
                <c:pt idx="0">
                  <c:v>Upper Confidence Bound(Specialty Coffee)</c:v>
                </c:pt>
              </c:strCache>
            </c:strRef>
          </c:tx>
          <c:spPr>
            <a:ln w="12700" cap="rnd">
              <a:solidFill>
                <a:srgbClr val="ED7D31"/>
              </a:solidFill>
              <a:prstDash val="solid"/>
              <a:round/>
            </a:ln>
            <a:effectLst/>
          </c:spPr>
          <c:marker>
            <c:symbol val="none"/>
          </c:marker>
          <c:cat>
            <c:numRef>
              <c:f>'Forecast_Speciaity '!$A$2:$A$23</c:f>
              <c:numCache>
                <c:formatCode>d\-mmm</c:formatCode>
                <c:ptCount val="22"/>
                <c:pt idx="0">
                  <c:v>44948</c:v>
                </c:pt>
                <c:pt idx="1">
                  <c:v>44979</c:v>
                </c:pt>
                <c:pt idx="2">
                  <c:v>45007</c:v>
                </c:pt>
                <c:pt idx="3">
                  <c:v>45038</c:v>
                </c:pt>
                <c:pt idx="4">
                  <c:v>45068</c:v>
                </c:pt>
                <c:pt idx="5">
                  <c:v>45099</c:v>
                </c:pt>
                <c:pt idx="6">
                  <c:v>45129</c:v>
                </c:pt>
                <c:pt idx="7">
                  <c:v>45160</c:v>
                </c:pt>
                <c:pt idx="8">
                  <c:v>45191</c:v>
                </c:pt>
                <c:pt idx="9">
                  <c:v>45221</c:v>
                </c:pt>
                <c:pt idx="10">
                  <c:v>45252</c:v>
                </c:pt>
                <c:pt idx="11">
                  <c:v>45282</c:v>
                </c:pt>
                <c:pt idx="12">
                  <c:v>45313</c:v>
                </c:pt>
                <c:pt idx="13">
                  <c:v>45344</c:v>
                </c:pt>
                <c:pt idx="14">
                  <c:v>45373</c:v>
                </c:pt>
                <c:pt idx="15">
                  <c:v>45404</c:v>
                </c:pt>
                <c:pt idx="16">
                  <c:v>45434</c:v>
                </c:pt>
                <c:pt idx="17">
                  <c:v>45465</c:v>
                </c:pt>
                <c:pt idx="18">
                  <c:v>45495</c:v>
                </c:pt>
                <c:pt idx="19">
                  <c:v>45526</c:v>
                </c:pt>
                <c:pt idx="20">
                  <c:v>45557</c:v>
                </c:pt>
                <c:pt idx="21">
                  <c:v>45587</c:v>
                </c:pt>
              </c:numCache>
            </c:numRef>
          </c:cat>
          <c:val>
            <c:numRef>
              <c:f>'Forecast_Speciaity '!$E$2:$E$23</c:f>
              <c:numCache>
                <c:formatCode>General</c:formatCode>
                <c:ptCount val="22"/>
                <c:pt idx="16" formatCode="0.00">
                  <c:v>8034</c:v>
                </c:pt>
                <c:pt idx="17" formatCode="0.00">
                  <c:v>9231.4765300682866</c:v>
                </c:pt>
                <c:pt idx="18" formatCode="0.00">
                  <c:v>9974.5131353517954</c:v>
                </c:pt>
                <c:pt idx="19" formatCode="0.00">
                  <c:v>10779.351618624898</c:v>
                </c:pt>
                <c:pt idx="20" formatCode="0.00">
                  <c:v>11641.714734731393</c:v>
                </c:pt>
                <c:pt idx="21" formatCode="0.00">
                  <c:v>12551.168329300503</c:v>
                </c:pt>
              </c:numCache>
            </c:numRef>
          </c:val>
          <c:smooth val="0"/>
          <c:extLst>
            <c:ext xmlns:c16="http://schemas.microsoft.com/office/drawing/2014/chart" uri="{C3380CC4-5D6E-409C-BE32-E72D297353CC}">
              <c16:uniqueId val="{00000003-D4B2-43DE-9369-408B9BB2F9BD}"/>
            </c:ext>
          </c:extLst>
        </c:ser>
        <c:dLbls>
          <c:showLegendKey val="0"/>
          <c:showVal val="0"/>
          <c:showCatName val="0"/>
          <c:showSerName val="0"/>
          <c:showPercent val="0"/>
          <c:showBubbleSize val="0"/>
        </c:dLbls>
        <c:smooth val="0"/>
        <c:axId val="1928621120"/>
        <c:axId val="1928633600"/>
      </c:lineChart>
      <c:catAx>
        <c:axId val="192862112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33600"/>
        <c:crosses val="autoZero"/>
        <c:auto val="1"/>
        <c:lblAlgn val="ctr"/>
        <c:lblOffset val="100"/>
        <c:noMultiLvlLbl val="0"/>
      </c:catAx>
      <c:valAx>
        <c:axId val="192863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21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[Midterm_pranav.xlsx]Visualization Data!PivotTable7</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'Visualization Data'!$K$25:$K$26</c:f>
              <c:strCache>
                <c:ptCount val="1"/>
                <c:pt idx="0">
                  <c:v>   Product 4</c:v>
                </c:pt>
              </c:strCache>
            </c:strRef>
          </c:tx>
          <c:spPr>
            <a:solidFill>
              <a:schemeClr val="accent1"/>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Data'!$K$27:$K$37</c:f>
              <c:numCache>
                <c:formatCode>General</c:formatCode>
                <c:ptCount val="10"/>
                <c:pt idx="4">
                  <c:v>324136.22244639997</c:v>
                </c:pt>
              </c:numCache>
            </c:numRef>
          </c:val>
          <c:extLst>
            <c:ext xmlns:c16="http://schemas.microsoft.com/office/drawing/2014/chart" uri="{C3380CC4-5D6E-409C-BE32-E72D297353CC}">
              <c16:uniqueId val="{00000000-BCAF-4EE9-B0C8-24950567A4D7}"/>
            </c:ext>
          </c:extLst>
        </c:ser>
        <c:ser>
          <c:idx val="1"/>
          <c:order val="1"/>
          <c:tx>
            <c:strRef>
              <c:f>'Visualization Data'!$L$25:$L$26</c:f>
              <c:strCache>
                <c:ptCount val="1"/>
                <c:pt idx="0">
                  <c:v>  Product 1</c:v>
                </c:pt>
              </c:strCache>
            </c:strRef>
          </c:tx>
          <c:spPr>
            <a:solidFill>
              <a:schemeClr val="accent2"/>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Data'!$L$27:$L$37</c:f>
              <c:numCache>
                <c:formatCode>General</c:formatCode>
                <c:ptCount val="10"/>
                <c:pt idx="4">
                  <c:v>199200</c:v>
                </c:pt>
              </c:numCache>
            </c:numRef>
          </c:val>
          <c:extLst>
            <c:ext xmlns:c16="http://schemas.microsoft.com/office/drawing/2014/chart" uri="{C3380CC4-5D6E-409C-BE32-E72D297353CC}">
              <c16:uniqueId val="{00000001-BCAF-4EE9-B0C8-24950567A4D7}"/>
            </c:ext>
          </c:extLst>
        </c:ser>
        <c:ser>
          <c:idx val="2"/>
          <c:order val="2"/>
          <c:tx>
            <c:strRef>
              <c:f>'Visualization Data'!$M$25:$M$26</c:f>
              <c:strCache>
                <c:ptCount val="1"/>
                <c:pt idx="0">
                  <c:v>  Product 2</c:v>
                </c:pt>
              </c:strCache>
            </c:strRef>
          </c:tx>
          <c:spPr>
            <a:solidFill>
              <a:schemeClr val="accent3"/>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Data'!$M$27:$M$37</c:f>
              <c:numCache>
                <c:formatCode>General</c:formatCode>
                <c:ptCount val="10"/>
                <c:pt idx="5">
                  <c:v>250680</c:v>
                </c:pt>
              </c:numCache>
            </c:numRef>
          </c:val>
          <c:extLst>
            <c:ext xmlns:c16="http://schemas.microsoft.com/office/drawing/2014/chart" uri="{C3380CC4-5D6E-409C-BE32-E72D297353CC}">
              <c16:uniqueId val="{00000002-BCAF-4EE9-B0C8-24950567A4D7}"/>
            </c:ext>
          </c:extLst>
        </c:ser>
        <c:ser>
          <c:idx val="3"/>
          <c:order val="3"/>
          <c:tx>
            <c:strRef>
              <c:f>'Visualization Data'!$N$25:$N$26</c:f>
              <c:strCache>
                <c:ptCount val="1"/>
                <c:pt idx="0">
                  <c:v>  Product 5</c:v>
                </c:pt>
              </c:strCache>
            </c:strRef>
          </c:tx>
          <c:spPr>
            <a:solidFill>
              <a:schemeClr val="accent4"/>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Data'!$N$27:$N$37</c:f>
              <c:numCache>
                <c:formatCode>General</c:formatCode>
                <c:ptCount val="10"/>
                <c:pt idx="6">
                  <c:v>130720</c:v>
                </c:pt>
              </c:numCache>
            </c:numRef>
          </c:val>
          <c:extLst>
            <c:ext xmlns:c16="http://schemas.microsoft.com/office/drawing/2014/chart" uri="{C3380CC4-5D6E-409C-BE32-E72D297353CC}">
              <c16:uniqueId val="{00000003-BCAF-4EE9-B0C8-24950567A4D7}"/>
            </c:ext>
          </c:extLst>
        </c:ser>
        <c:ser>
          <c:idx val="4"/>
          <c:order val="4"/>
          <c:tx>
            <c:strRef>
              <c:f>'Visualization Data'!$O$25:$O$26</c:f>
              <c:strCache>
                <c:ptCount val="1"/>
                <c:pt idx="0">
                  <c:v>Product 1</c:v>
                </c:pt>
              </c:strCache>
            </c:strRef>
          </c:tx>
          <c:spPr>
            <a:solidFill>
              <a:schemeClr val="accent5"/>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Data'!$O$27:$O$37</c:f>
              <c:numCache>
                <c:formatCode>General</c:formatCode>
                <c:ptCount val="10"/>
                <c:pt idx="0">
                  <c:v>12450</c:v>
                </c:pt>
                <c:pt idx="1">
                  <c:v>24900</c:v>
                </c:pt>
                <c:pt idx="2">
                  <c:v>49800</c:v>
                </c:pt>
                <c:pt idx="3">
                  <c:v>99600</c:v>
                </c:pt>
                <c:pt idx="5">
                  <c:v>398400</c:v>
                </c:pt>
                <c:pt idx="6">
                  <c:v>426732</c:v>
                </c:pt>
                <c:pt idx="7">
                  <c:v>452782</c:v>
                </c:pt>
                <c:pt idx="8">
                  <c:v>478123</c:v>
                </c:pt>
                <c:pt idx="9">
                  <c:v>492823</c:v>
                </c:pt>
              </c:numCache>
            </c:numRef>
          </c:val>
          <c:extLst>
            <c:ext xmlns:c16="http://schemas.microsoft.com/office/drawing/2014/chart" uri="{C3380CC4-5D6E-409C-BE32-E72D297353CC}">
              <c16:uniqueId val="{00000004-BCAF-4EE9-B0C8-24950567A4D7}"/>
            </c:ext>
          </c:extLst>
        </c:ser>
        <c:ser>
          <c:idx val="5"/>
          <c:order val="5"/>
          <c:tx>
            <c:strRef>
              <c:f>'Visualization Data'!$P$25:$P$26</c:f>
              <c:strCache>
                <c:ptCount val="1"/>
                <c:pt idx="0">
                  <c:v>Product 2</c:v>
                </c:pt>
              </c:strCache>
            </c:strRef>
          </c:tx>
          <c:spPr>
            <a:solidFill>
              <a:schemeClr val="accent6"/>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Data'!$P$27:$P$37</c:f>
              <c:numCache>
                <c:formatCode>General</c:formatCode>
                <c:ptCount val="10"/>
                <c:pt idx="0">
                  <c:v>235888</c:v>
                </c:pt>
                <c:pt idx="1">
                  <c:v>203024</c:v>
                </c:pt>
                <c:pt idx="3">
                  <c:v>246739</c:v>
                </c:pt>
                <c:pt idx="4">
                  <c:v>224898</c:v>
                </c:pt>
                <c:pt idx="6">
                  <c:v>209309</c:v>
                </c:pt>
                <c:pt idx="7">
                  <c:v>235713</c:v>
                </c:pt>
                <c:pt idx="8">
                  <c:v>232016</c:v>
                </c:pt>
                <c:pt idx="9">
                  <c:v>210222</c:v>
                </c:pt>
              </c:numCache>
            </c:numRef>
          </c:val>
          <c:extLst>
            <c:ext xmlns:c16="http://schemas.microsoft.com/office/drawing/2014/chart" uri="{C3380CC4-5D6E-409C-BE32-E72D297353CC}">
              <c16:uniqueId val="{00000005-BCAF-4EE9-B0C8-24950567A4D7}"/>
            </c:ext>
          </c:extLst>
        </c:ser>
        <c:ser>
          <c:idx val="6"/>
          <c:order val="6"/>
          <c:tx>
            <c:strRef>
              <c:f>'Visualization Data'!$Q$25:$Q$26</c:f>
              <c:strCache>
                <c:ptCount val="1"/>
                <c:pt idx="0">
                  <c:v>Product 2    </c:v>
                </c:pt>
              </c:strCache>
            </c:strRef>
          </c:tx>
          <c:spPr>
            <a:solidFill>
              <a:schemeClr val="accent1">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Data'!$Q$27:$Q$37</c:f>
              <c:numCache>
                <c:formatCode>General</c:formatCode>
                <c:ptCount val="10"/>
                <c:pt idx="2">
                  <c:v>226570</c:v>
                </c:pt>
              </c:numCache>
            </c:numRef>
          </c:val>
          <c:extLst>
            <c:ext xmlns:c16="http://schemas.microsoft.com/office/drawing/2014/chart" uri="{C3380CC4-5D6E-409C-BE32-E72D297353CC}">
              <c16:uniqueId val="{00000006-BCAF-4EE9-B0C8-24950567A4D7}"/>
            </c:ext>
          </c:extLst>
        </c:ser>
        <c:ser>
          <c:idx val="7"/>
          <c:order val="7"/>
          <c:tx>
            <c:strRef>
              <c:f>'Visualization Data'!$R$25:$R$26</c:f>
              <c:strCache>
                <c:ptCount val="1"/>
                <c:pt idx="0">
                  <c:v>Product 3</c:v>
                </c:pt>
              </c:strCache>
            </c:strRef>
          </c:tx>
          <c:spPr>
            <a:solidFill>
              <a:schemeClr val="accent2">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Data'!$R$27:$R$37</c:f>
              <c:numCache>
                <c:formatCode>General</c:formatCode>
                <c:ptCount val="10"/>
                <c:pt idx="0">
                  <c:v>145318</c:v>
                </c:pt>
                <c:pt idx="1">
                  <c:v>98046</c:v>
                </c:pt>
                <c:pt idx="2">
                  <c:v>120729</c:v>
                </c:pt>
                <c:pt idx="3">
                  <c:v>159714</c:v>
                </c:pt>
                <c:pt idx="4">
                  <c:v>153627</c:v>
                </c:pt>
                <c:pt idx="6">
                  <c:v>103829</c:v>
                </c:pt>
                <c:pt idx="7">
                  <c:v>163953</c:v>
                </c:pt>
                <c:pt idx="8">
                  <c:v>131279</c:v>
                </c:pt>
                <c:pt idx="9">
                  <c:v>156634</c:v>
                </c:pt>
              </c:numCache>
            </c:numRef>
          </c:val>
          <c:extLst>
            <c:ext xmlns:c16="http://schemas.microsoft.com/office/drawing/2014/chart" uri="{C3380CC4-5D6E-409C-BE32-E72D297353CC}">
              <c16:uniqueId val="{00000007-BCAF-4EE9-B0C8-24950567A4D7}"/>
            </c:ext>
          </c:extLst>
        </c:ser>
        <c:ser>
          <c:idx val="8"/>
          <c:order val="8"/>
          <c:tx>
            <c:strRef>
              <c:f>'Visualization Data'!$S$25:$S$26</c:f>
              <c:strCache>
                <c:ptCount val="1"/>
                <c:pt idx="0">
                  <c:v>Product 3   </c:v>
                </c:pt>
              </c:strCache>
            </c:strRef>
          </c:tx>
          <c:spPr>
            <a:solidFill>
              <a:schemeClr val="accent3">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Data'!$S$27:$S$37</c:f>
              <c:numCache>
                <c:formatCode>General</c:formatCode>
                <c:ptCount val="10"/>
                <c:pt idx="5">
                  <c:v>127689</c:v>
                </c:pt>
              </c:numCache>
            </c:numRef>
          </c:val>
          <c:extLst>
            <c:ext xmlns:c16="http://schemas.microsoft.com/office/drawing/2014/chart" uri="{C3380CC4-5D6E-409C-BE32-E72D297353CC}">
              <c16:uniqueId val="{00000008-BCAF-4EE9-B0C8-24950567A4D7}"/>
            </c:ext>
          </c:extLst>
        </c:ser>
        <c:ser>
          <c:idx val="9"/>
          <c:order val="9"/>
          <c:tx>
            <c:strRef>
              <c:f>'Visualization Data'!$T$25:$T$26</c:f>
              <c:strCache>
                <c:ptCount val="1"/>
                <c:pt idx="0">
                  <c:v>Product 4</c:v>
                </c:pt>
              </c:strCache>
            </c:strRef>
          </c:tx>
          <c:spPr>
            <a:solidFill>
              <a:schemeClr val="accent4">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Data'!$T$27:$T$37</c:f>
              <c:numCache>
                <c:formatCode>General</c:formatCode>
                <c:ptCount val="10"/>
                <c:pt idx="0">
                  <c:v>438170</c:v>
                </c:pt>
                <c:pt idx="1">
                  <c:v>411879.8</c:v>
                </c:pt>
                <c:pt idx="2">
                  <c:v>387167.01199999999</c:v>
                </c:pt>
                <c:pt idx="3">
                  <c:v>352321.98092</c:v>
                </c:pt>
                <c:pt idx="5">
                  <c:v>307929.41132407996</c:v>
                </c:pt>
                <c:pt idx="6">
                  <c:v>274057.17607843119</c:v>
                </c:pt>
                <c:pt idx="7">
                  <c:v>249392.0302313724</c:v>
                </c:pt>
                <c:pt idx="8">
                  <c:v>221958.90690592144</c:v>
                </c:pt>
                <c:pt idx="9">
                  <c:v>199763.01621532929</c:v>
                </c:pt>
              </c:numCache>
            </c:numRef>
          </c:val>
          <c:extLst>
            <c:ext xmlns:c16="http://schemas.microsoft.com/office/drawing/2014/chart" uri="{C3380CC4-5D6E-409C-BE32-E72D297353CC}">
              <c16:uniqueId val="{00000009-BCAF-4EE9-B0C8-24950567A4D7}"/>
            </c:ext>
          </c:extLst>
        </c:ser>
        <c:ser>
          <c:idx val="10"/>
          <c:order val="10"/>
          <c:tx>
            <c:strRef>
              <c:f>'Visualization Data'!$U$25:$U$26</c:f>
              <c:strCache>
                <c:ptCount val="1"/>
                <c:pt idx="0">
                  <c:v>Product 5</c:v>
                </c:pt>
              </c:strCache>
            </c:strRef>
          </c:tx>
          <c:spPr>
            <a:solidFill>
              <a:schemeClr val="accent5">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Data'!$U$27:$U$37</c:f>
              <c:numCache>
                <c:formatCode>General</c:formatCode>
                <c:ptCount val="10"/>
                <c:pt idx="0">
                  <c:v>132408</c:v>
                </c:pt>
                <c:pt idx="1">
                  <c:v>125473</c:v>
                </c:pt>
                <c:pt idx="3">
                  <c:v>128478</c:v>
                </c:pt>
                <c:pt idx="4">
                  <c:v>123742</c:v>
                </c:pt>
                <c:pt idx="5">
                  <c:v>129465</c:v>
                </c:pt>
                <c:pt idx="7">
                  <c:v>127120</c:v>
                </c:pt>
                <c:pt idx="8">
                  <c:v>138274</c:v>
                </c:pt>
                <c:pt idx="9">
                  <c:v>131792</c:v>
                </c:pt>
              </c:numCache>
            </c:numRef>
          </c:val>
          <c:extLst>
            <c:ext xmlns:c16="http://schemas.microsoft.com/office/drawing/2014/chart" uri="{C3380CC4-5D6E-409C-BE32-E72D297353CC}">
              <c16:uniqueId val="{0000000A-BCAF-4EE9-B0C8-24950567A4D7}"/>
            </c:ext>
          </c:extLst>
        </c:ser>
        <c:ser>
          <c:idx val="11"/>
          <c:order val="11"/>
          <c:tx>
            <c:strRef>
              <c:f>'Visualization Data'!$V$25:$V$26</c:f>
              <c:strCache>
                <c:ptCount val="1"/>
                <c:pt idx="0">
                  <c:v>Product 5    </c:v>
                </c:pt>
              </c:strCache>
            </c:strRef>
          </c:tx>
          <c:spPr>
            <a:solidFill>
              <a:schemeClr val="accent6">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Data'!$V$27:$V$37</c:f>
              <c:numCache>
                <c:formatCode>General</c:formatCode>
                <c:ptCount val="10"/>
                <c:pt idx="2">
                  <c:v>134296</c:v>
                </c:pt>
              </c:numCache>
            </c:numRef>
          </c:val>
          <c:extLst>
            <c:ext xmlns:c16="http://schemas.microsoft.com/office/drawing/2014/chart" uri="{C3380CC4-5D6E-409C-BE32-E72D297353CC}">
              <c16:uniqueId val="{0000000B-BCAF-4EE9-B0C8-24950567A4D7}"/>
            </c:ext>
          </c:extLst>
        </c:ser>
        <c:dLbls>
          <c:showLegendKey val="0"/>
          <c:showVal val="0"/>
          <c:showCatName val="0"/>
          <c:showSerName val="0"/>
          <c:showPercent val="0"/>
          <c:showBubbleSize val="0"/>
        </c:dLbls>
        <c:gapWidth val="150"/>
        <c:shape val="box"/>
        <c:axId val="1928619200"/>
        <c:axId val="1928644160"/>
        <c:axId val="0"/>
      </c:bar3DChart>
      <c:catAx>
        <c:axId val="1928619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44160"/>
        <c:crosses val="autoZero"/>
        <c:auto val="1"/>
        <c:lblAlgn val="ctr"/>
        <c:lblOffset val="100"/>
        <c:noMultiLvlLbl val="0"/>
      </c:catAx>
      <c:valAx>
        <c:axId val="192864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1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[Midterm_pranav.xlsx]Visualization Data!PivotTable8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'Visualization Data'!$K$59:$K$60</c:f>
              <c:strCache>
                <c:ptCount val="1"/>
                <c:pt idx="0">
                  <c:v>   Product 4</c:v>
                </c:pt>
              </c:strCache>
            </c:strRef>
          </c:tx>
          <c:spPr>
            <a:solidFill>
              <a:schemeClr val="accent1"/>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Data'!$K$61:$K$71</c:f>
              <c:numCache>
                <c:formatCode>General</c:formatCode>
                <c:ptCount val="10"/>
                <c:pt idx="4">
                  <c:v>39741.919447775996</c:v>
                </c:pt>
              </c:numCache>
            </c:numRef>
          </c:val>
          <c:extLst>
            <c:ext xmlns:c16="http://schemas.microsoft.com/office/drawing/2014/chart" uri="{C3380CC4-5D6E-409C-BE32-E72D297353CC}">
              <c16:uniqueId val="{00000000-A5E6-46F8-958D-F77A1FBF7980}"/>
            </c:ext>
          </c:extLst>
        </c:ser>
        <c:ser>
          <c:idx val="1"/>
          <c:order val="1"/>
          <c:tx>
            <c:strRef>
              <c:f>'Visualization Data'!$L$59:$L$60</c:f>
              <c:strCache>
                <c:ptCount val="1"/>
                <c:pt idx="0">
                  <c:v>  Product 1</c:v>
                </c:pt>
              </c:strCache>
            </c:strRef>
          </c:tx>
          <c:spPr>
            <a:solidFill>
              <a:schemeClr val="accent2"/>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Data'!$L$61:$L$71</c:f>
              <c:numCache>
                <c:formatCode>General</c:formatCode>
                <c:ptCount val="10"/>
                <c:pt idx="4">
                  <c:v>20576</c:v>
                </c:pt>
              </c:numCache>
            </c:numRef>
          </c:val>
          <c:extLst>
            <c:ext xmlns:c16="http://schemas.microsoft.com/office/drawing/2014/chart" uri="{C3380CC4-5D6E-409C-BE32-E72D297353CC}">
              <c16:uniqueId val="{00000001-A5E6-46F8-958D-F77A1FBF7980}"/>
            </c:ext>
          </c:extLst>
        </c:ser>
        <c:ser>
          <c:idx val="2"/>
          <c:order val="2"/>
          <c:tx>
            <c:strRef>
              <c:f>'Visualization Data'!$M$59:$M$60</c:f>
              <c:strCache>
                <c:ptCount val="1"/>
                <c:pt idx="0">
                  <c:v>  Product 2</c:v>
                </c:pt>
              </c:strCache>
            </c:strRef>
          </c:tx>
          <c:spPr>
            <a:solidFill>
              <a:schemeClr val="accent3"/>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Data'!$M$61:$M$71</c:f>
              <c:numCache>
                <c:formatCode>General</c:formatCode>
                <c:ptCount val="10"/>
                <c:pt idx="5">
                  <c:v>61864</c:v>
                </c:pt>
              </c:numCache>
            </c:numRef>
          </c:val>
          <c:extLst>
            <c:ext xmlns:c16="http://schemas.microsoft.com/office/drawing/2014/chart" uri="{C3380CC4-5D6E-409C-BE32-E72D297353CC}">
              <c16:uniqueId val="{00000002-A5E6-46F8-958D-F77A1FBF7980}"/>
            </c:ext>
          </c:extLst>
        </c:ser>
        <c:ser>
          <c:idx val="3"/>
          <c:order val="3"/>
          <c:tx>
            <c:strRef>
              <c:f>'Visualization Data'!$N$59:$N$60</c:f>
              <c:strCache>
                <c:ptCount val="1"/>
                <c:pt idx="0">
                  <c:v>  Product 5</c:v>
                </c:pt>
              </c:strCache>
            </c:strRef>
          </c:tx>
          <c:spPr>
            <a:solidFill>
              <a:schemeClr val="accent4"/>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Data'!$N$61:$N$71</c:f>
              <c:numCache>
                <c:formatCode>General</c:formatCode>
                <c:ptCount val="10"/>
                <c:pt idx="6">
                  <c:v>32680</c:v>
                </c:pt>
              </c:numCache>
            </c:numRef>
          </c:val>
          <c:extLst>
            <c:ext xmlns:c16="http://schemas.microsoft.com/office/drawing/2014/chart" uri="{C3380CC4-5D6E-409C-BE32-E72D297353CC}">
              <c16:uniqueId val="{00000003-A5E6-46F8-958D-F77A1FBF7980}"/>
            </c:ext>
          </c:extLst>
        </c:ser>
        <c:ser>
          <c:idx val="4"/>
          <c:order val="4"/>
          <c:tx>
            <c:strRef>
              <c:f>'Visualization Data'!$O$59:$O$60</c:f>
              <c:strCache>
                <c:ptCount val="1"/>
                <c:pt idx="0">
                  <c:v>Product 1</c:v>
                </c:pt>
              </c:strCache>
            </c:strRef>
          </c:tx>
          <c:spPr>
            <a:solidFill>
              <a:schemeClr val="accent5"/>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Data'!$O$61:$O$71</c:f>
              <c:numCache>
                <c:formatCode>General</c:formatCode>
                <c:ptCount val="10"/>
                <c:pt idx="0">
                  <c:v>-23587</c:v>
                </c:pt>
                <c:pt idx="1">
                  <c:v>-10341</c:v>
                </c:pt>
                <c:pt idx="2">
                  <c:v>-1943</c:v>
                </c:pt>
                <c:pt idx="3">
                  <c:v>11632</c:v>
                </c:pt>
                <c:pt idx="5">
                  <c:v>43734</c:v>
                </c:pt>
                <c:pt idx="6">
                  <c:v>60182</c:v>
                </c:pt>
                <c:pt idx="7">
                  <c:v>83812</c:v>
                </c:pt>
                <c:pt idx="8">
                  <c:v>93672</c:v>
                </c:pt>
                <c:pt idx="9">
                  <c:v>108352</c:v>
                </c:pt>
              </c:numCache>
            </c:numRef>
          </c:val>
          <c:extLst>
            <c:ext xmlns:c16="http://schemas.microsoft.com/office/drawing/2014/chart" uri="{C3380CC4-5D6E-409C-BE32-E72D297353CC}">
              <c16:uniqueId val="{00000004-A5E6-46F8-958D-F77A1FBF7980}"/>
            </c:ext>
          </c:extLst>
        </c:ser>
        <c:ser>
          <c:idx val="5"/>
          <c:order val="5"/>
          <c:tx>
            <c:strRef>
              <c:f>'Visualization Data'!$P$59:$P$60</c:f>
              <c:strCache>
                <c:ptCount val="1"/>
                <c:pt idx="0">
                  <c:v>Product 2</c:v>
                </c:pt>
              </c:strCache>
            </c:strRef>
          </c:tx>
          <c:spPr>
            <a:solidFill>
              <a:schemeClr val="accent6"/>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Data'!$P$61:$P$71</c:f>
              <c:numCache>
                <c:formatCode>General</c:formatCode>
                <c:ptCount val="10"/>
                <c:pt idx="0">
                  <c:v>63823</c:v>
                </c:pt>
                <c:pt idx="1">
                  <c:v>60289</c:v>
                </c:pt>
                <c:pt idx="3">
                  <c:v>62340</c:v>
                </c:pt>
                <c:pt idx="4">
                  <c:v>59786</c:v>
                </c:pt>
                <c:pt idx="6">
                  <c:v>58234</c:v>
                </c:pt>
                <c:pt idx="7">
                  <c:v>62890</c:v>
                </c:pt>
                <c:pt idx="8">
                  <c:v>63276</c:v>
                </c:pt>
                <c:pt idx="9">
                  <c:v>60780</c:v>
                </c:pt>
              </c:numCache>
            </c:numRef>
          </c:val>
          <c:extLst>
            <c:ext xmlns:c16="http://schemas.microsoft.com/office/drawing/2014/chart" uri="{C3380CC4-5D6E-409C-BE32-E72D297353CC}">
              <c16:uniqueId val="{00000005-A5E6-46F8-958D-F77A1FBF7980}"/>
            </c:ext>
          </c:extLst>
        </c:ser>
        <c:ser>
          <c:idx val="6"/>
          <c:order val="6"/>
          <c:tx>
            <c:strRef>
              <c:f>'Visualization Data'!$Q$59:$Q$60</c:f>
              <c:strCache>
                <c:ptCount val="1"/>
                <c:pt idx="0">
                  <c:v>Product 2    </c:v>
                </c:pt>
              </c:strCache>
            </c:strRef>
          </c:tx>
          <c:spPr>
            <a:solidFill>
              <a:schemeClr val="accent1">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Data'!$Q$61:$Q$71</c:f>
              <c:numCache>
                <c:formatCode>General</c:formatCode>
                <c:ptCount val="10"/>
                <c:pt idx="2">
                  <c:v>61902</c:v>
                </c:pt>
              </c:numCache>
            </c:numRef>
          </c:val>
          <c:extLst>
            <c:ext xmlns:c16="http://schemas.microsoft.com/office/drawing/2014/chart" uri="{C3380CC4-5D6E-409C-BE32-E72D297353CC}">
              <c16:uniqueId val="{00000006-A5E6-46F8-958D-F77A1FBF7980}"/>
            </c:ext>
          </c:extLst>
        </c:ser>
        <c:ser>
          <c:idx val="7"/>
          <c:order val="7"/>
          <c:tx>
            <c:strRef>
              <c:f>'Visualization Data'!$R$59:$R$60</c:f>
              <c:strCache>
                <c:ptCount val="1"/>
                <c:pt idx="0">
                  <c:v>Product 3</c:v>
                </c:pt>
              </c:strCache>
            </c:strRef>
          </c:tx>
          <c:spPr>
            <a:solidFill>
              <a:schemeClr val="accent2">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Data'!$R$61:$R$71</c:f>
              <c:numCache>
                <c:formatCode>General</c:formatCode>
                <c:ptCount val="10"/>
                <c:pt idx="0">
                  <c:v>-30324</c:v>
                </c:pt>
                <c:pt idx="1">
                  <c:v>-28634</c:v>
                </c:pt>
                <c:pt idx="2">
                  <c:v>-21015</c:v>
                </c:pt>
                <c:pt idx="3">
                  <c:v>8025</c:v>
                </c:pt>
                <c:pt idx="4">
                  <c:v>-1171</c:v>
                </c:pt>
                <c:pt idx="6">
                  <c:v>-14651</c:v>
                </c:pt>
                <c:pt idx="7">
                  <c:v>5007</c:v>
                </c:pt>
                <c:pt idx="8">
                  <c:v>10446</c:v>
                </c:pt>
                <c:pt idx="9">
                  <c:v>-23359</c:v>
                </c:pt>
              </c:numCache>
            </c:numRef>
          </c:val>
          <c:extLst>
            <c:ext xmlns:c16="http://schemas.microsoft.com/office/drawing/2014/chart" uri="{C3380CC4-5D6E-409C-BE32-E72D297353CC}">
              <c16:uniqueId val="{00000007-A5E6-46F8-958D-F77A1FBF7980}"/>
            </c:ext>
          </c:extLst>
        </c:ser>
        <c:ser>
          <c:idx val="8"/>
          <c:order val="8"/>
          <c:tx>
            <c:strRef>
              <c:f>'Visualization Data'!$S$59:$S$60</c:f>
              <c:strCache>
                <c:ptCount val="1"/>
                <c:pt idx="0">
                  <c:v>Product 3   </c:v>
                </c:pt>
              </c:strCache>
            </c:strRef>
          </c:tx>
          <c:spPr>
            <a:solidFill>
              <a:schemeClr val="accent3">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Data'!$S$61:$S$71</c:f>
              <c:numCache>
                <c:formatCode>General</c:formatCode>
                <c:ptCount val="10"/>
                <c:pt idx="5">
                  <c:v>6401</c:v>
                </c:pt>
              </c:numCache>
            </c:numRef>
          </c:val>
          <c:extLst>
            <c:ext xmlns:c16="http://schemas.microsoft.com/office/drawing/2014/chart" uri="{C3380CC4-5D6E-409C-BE32-E72D297353CC}">
              <c16:uniqueId val="{00000008-A5E6-46F8-958D-F77A1FBF7980}"/>
            </c:ext>
          </c:extLst>
        </c:ser>
        <c:ser>
          <c:idx val="9"/>
          <c:order val="9"/>
          <c:tx>
            <c:strRef>
              <c:f>'Visualization Data'!$T$59:$T$60</c:f>
              <c:strCache>
                <c:ptCount val="1"/>
                <c:pt idx="0">
                  <c:v>Product 4</c:v>
                </c:pt>
              </c:strCache>
            </c:strRef>
          </c:tx>
          <c:spPr>
            <a:solidFill>
              <a:schemeClr val="accent4">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Data'!$T$61:$T$71</c:f>
              <c:numCache>
                <c:formatCode>General</c:formatCode>
                <c:ptCount val="10"/>
                <c:pt idx="0">
                  <c:v>52580.4</c:v>
                </c:pt>
                <c:pt idx="1">
                  <c:v>49425.576000000001</c:v>
                </c:pt>
                <c:pt idx="2">
                  <c:v>46460.041440000001</c:v>
                </c:pt>
                <c:pt idx="3">
                  <c:v>42278.637710399998</c:v>
                </c:pt>
                <c:pt idx="5">
                  <c:v>36165.146697476157</c:v>
                </c:pt>
                <c:pt idx="6">
                  <c:v>33271.934961678067</c:v>
                </c:pt>
                <c:pt idx="7">
                  <c:v>30610.180164743822</c:v>
                </c:pt>
                <c:pt idx="8">
                  <c:v>27243.060346622002</c:v>
                </c:pt>
                <c:pt idx="9">
                  <c:v>25063.615518892242</c:v>
                </c:pt>
              </c:numCache>
            </c:numRef>
          </c:val>
          <c:extLst>
            <c:ext xmlns:c16="http://schemas.microsoft.com/office/drawing/2014/chart" uri="{C3380CC4-5D6E-409C-BE32-E72D297353CC}">
              <c16:uniqueId val="{00000009-A5E6-46F8-958D-F77A1FBF7980}"/>
            </c:ext>
          </c:extLst>
        </c:ser>
        <c:ser>
          <c:idx val="10"/>
          <c:order val="10"/>
          <c:tx>
            <c:strRef>
              <c:f>'Visualization Data'!$U$59:$U$60</c:f>
              <c:strCache>
                <c:ptCount val="1"/>
                <c:pt idx="0">
                  <c:v>Product 5</c:v>
                </c:pt>
              </c:strCache>
            </c:strRef>
          </c:tx>
          <c:spPr>
            <a:solidFill>
              <a:schemeClr val="accent5">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Data'!$U$61:$U$71</c:f>
              <c:numCache>
                <c:formatCode>General</c:formatCode>
                <c:ptCount val="10"/>
                <c:pt idx="0">
                  <c:v>26481.600000000002</c:v>
                </c:pt>
                <c:pt idx="1">
                  <c:v>31368.25</c:v>
                </c:pt>
                <c:pt idx="3">
                  <c:v>25695.600000000002</c:v>
                </c:pt>
                <c:pt idx="4">
                  <c:v>30935.5</c:v>
                </c:pt>
                <c:pt idx="5">
                  <c:v>43155</c:v>
                </c:pt>
                <c:pt idx="7">
                  <c:v>31780</c:v>
                </c:pt>
                <c:pt idx="8">
                  <c:v>34568.5</c:v>
                </c:pt>
                <c:pt idx="9">
                  <c:v>43930.666666666664</c:v>
                </c:pt>
              </c:numCache>
            </c:numRef>
          </c:val>
          <c:extLst>
            <c:ext xmlns:c16="http://schemas.microsoft.com/office/drawing/2014/chart" uri="{C3380CC4-5D6E-409C-BE32-E72D297353CC}">
              <c16:uniqueId val="{0000000A-A5E6-46F8-958D-F77A1FBF7980}"/>
            </c:ext>
          </c:extLst>
        </c:ser>
        <c:ser>
          <c:idx val="11"/>
          <c:order val="11"/>
          <c:tx>
            <c:strRef>
              <c:f>'Visualization Data'!$V$59:$V$60</c:f>
              <c:strCache>
                <c:ptCount val="1"/>
                <c:pt idx="0">
                  <c:v>Product 5    </c:v>
                </c:pt>
              </c:strCache>
            </c:strRef>
          </c:tx>
          <c:spPr>
            <a:solidFill>
              <a:schemeClr val="accent6">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Data'!$V$61:$V$71</c:f>
              <c:numCache>
                <c:formatCode>General</c:formatCode>
                <c:ptCount val="10"/>
                <c:pt idx="2">
                  <c:v>44765.333333333328</c:v>
                </c:pt>
              </c:numCache>
            </c:numRef>
          </c:val>
          <c:extLst>
            <c:ext xmlns:c16="http://schemas.microsoft.com/office/drawing/2014/chart" uri="{C3380CC4-5D6E-409C-BE32-E72D297353CC}">
              <c16:uniqueId val="{0000000B-A5E6-46F8-958D-F77A1FBF7980}"/>
            </c:ext>
          </c:extLst>
        </c:ser>
        <c:dLbls>
          <c:showLegendKey val="0"/>
          <c:showVal val="0"/>
          <c:showCatName val="0"/>
          <c:showSerName val="0"/>
          <c:showPercent val="0"/>
          <c:showBubbleSize val="0"/>
        </c:dLbls>
        <c:axId val="1508397664"/>
        <c:axId val="1508398144"/>
      </c:areaChart>
      <c:catAx>
        <c:axId val="1508397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98144"/>
        <c:crosses val="autoZero"/>
        <c:auto val="1"/>
        <c:lblAlgn val="ctr"/>
        <c:lblOffset val="100"/>
        <c:noMultiLvlLbl val="0"/>
      </c:catAx>
      <c:valAx>
        <c:axId val="150839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976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[Midterm_pranav.xlsx]Visualization Data!PivotTable9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'Visualization Data'!$K$83:$K$84</c:f>
              <c:strCache>
                <c:ptCount val="1"/>
                <c:pt idx="0">
                  <c:v>   Product 4</c:v>
                </c:pt>
              </c:strCache>
            </c:strRef>
          </c:tx>
          <c:spPr>
            <a:solidFill>
              <a:schemeClr val="accent1"/>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Data'!$K$85:$K$95</c:f>
              <c:numCache>
                <c:formatCode>General</c:formatCode>
                <c:ptCount val="10"/>
                <c:pt idx="4">
                  <c:v>0.14043802499999997</c:v>
                </c:pt>
              </c:numCache>
            </c:numRef>
          </c:val>
          <c:extLst>
            <c:ext xmlns:c16="http://schemas.microsoft.com/office/drawing/2014/chart" uri="{C3380CC4-5D6E-409C-BE32-E72D297353CC}">
              <c16:uniqueId val="{00000000-4D07-4009-ABBF-E719A1D680A3}"/>
            </c:ext>
          </c:extLst>
        </c:ser>
        <c:ser>
          <c:idx val="1"/>
          <c:order val="1"/>
          <c:tx>
            <c:strRef>
              <c:f>'Visualization Data'!$L$83:$L$84</c:f>
              <c:strCache>
                <c:ptCount val="1"/>
                <c:pt idx="0">
                  <c:v>  Product 1</c:v>
                </c:pt>
              </c:strCache>
            </c:strRef>
          </c:tx>
          <c:spPr>
            <a:solidFill>
              <a:schemeClr val="accent2"/>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Data'!$L$85:$L$95</c:f>
              <c:numCache>
                <c:formatCode>General</c:formatCode>
                <c:ptCount val="10"/>
                <c:pt idx="4">
                  <c:v>16</c:v>
                </c:pt>
              </c:numCache>
            </c:numRef>
          </c:val>
          <c:extLst>
            <c:ext xmlns:c16="http://schemas.microsoft.com/office/drawing/2014/chart" uri="{C3380CC4-5D6E-409C-BE32-E72D297353CC}">
              <c16:uniqueId val="{00000001-4D07-4009-ABBF-E719A1D680A3}"/>
            </c:ext>
          </c:extLst>
        </c:ser>
        <c:ser>
          <c:idx val="2"/>
          <c:order val="2"/>
          <c:tx>
            <c:strRef>
              <c:f>'Visualization Data'!$M$83:$M$84</c:f>
              <c:strCache>
                <c:ptCount val="1"/>
                <c:pt idx="0">
                  <c:v>  Product 2</c:v>
                </c:pt>
              </c:strCache>
            </c:strRef>
          </c:tx>
          <c:spPr>
            <a:solidFill>
              <a:schemeClr val="accent3"/>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Data'!$M$85:$M$95</c:f>
              <c:numCache>
                <c:formatCode>General</c:formatCode>
                <c:ptCount val="10"/>
                <c:pt idx="5">
                  <c:v>0.04</c:v>
                </c:pt>
              </c:numCache>
            </c:numRef>
          </c:val>
          <c:extLst>
            <c:ext xmlns:c16="http://schemas.microsoft.com/office/drawing/2014/chart" uri="{C3380CC4-5D6E-409C-BE32-E72D297353CC}">
              <c16:uniqueId val="{00000002-4D07-4009-ABBF-E719A1D680A3}"/>
            </c:ext>
          </c:extLst>
        </c:ser>
        <c:ser>
          <c:idx val="3"/>
          <c:order val="3"/>
          <c:tx>
            <c:strRef>
              <c:f>'Visualization Data'!$N$83:$N$84</c:f>
              <c:strCache>
                <c:ptCount val="1"/>
                <c:pt idx="0">
                  <c:v>  Product 5</c:v>
                </c:pt>
              </c:strCache>
            </c:strRef>
          </c:tx>
          <c:spPr>
            <a:solidFill>
              <a:schemeClr val="accent4"/>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Data'!$N$85:$N$95</c:f>
              <c:numCache>
                <c:formatCode>General</c:formatCode>
                <c:ptCount val="10"/>
                <c:pt idx="6">
                  <c:v>0.1138</c:v>
                </c:pt>
              </c:numCache>
            </c:numRef>
          </c:val>
          <c:extLst>
            <c:ext xmlns:c16="http://schemas.microsoft.com/office/drawing/2014/chart" uri="{C3380CC4-5D6E-409C-BE32-E72D297353CC}">
              <c16:uniqueId val="{00000003-4D07-4009-ABBF-E719A1D680A3}"/>
            </c:ext>
          </c:extLst>
        </c:ser>
        <c:ser>
          <c:idx val="4"/>
          <c:order val="4"/>
          <c:tx>
            <c:strRef>
              <c:f>'Visualization Data'!$O$83:$O$84</c:f>
              <c:strCache>
                <c:ptCount val="1"/>
                <c:pt idx="0">
                  <c:v>Product 1</c:v>
                </c:pt>
              </c:strCache>
            </c:strRef>
          </c:tx>
          <c:spPr>
            <a:solidFill>
              <a:schemeClr val="accent5"/>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Data'!$O$85:$O$95</c:f>
              <c:numCache>
                <c:formatCode>General</c:formatCode>
                <c:ptCount val="10"/>
                <c:pt idx="0">
                  <c:v>0.02</c:v>
                </c:pt>
                <c:pt idx="1">
                  <c:v>0.04</c:v>
                </c:pt>
                <c:pt idx="2">
                  <c:v>7.0000000000000007E-2</c:v>
                </c:pt>
                <c:pt idx="3">
                  <c:v>0.13</c:v>
                </c:pt>
                <c:pt idx="5">
                  <c:v>0.18</c:v>
                </c:pt>
                <c:pt idx="6">
                  <c:v>0.19</c:v>
                </c:pt>
                <c:pt idx="7">
                  <c:v>0.17</c:v>
                </c:pt>
                <c:pt idx="8">
                  <c:v>0.2</c:v>
                </c:pt>
                <c:pt idx="9">
                  <c:v>0.19</c:v>
                </c:pt>
              </c:numCache>
            </c:numRef>
          </c:val>
          <c:extLst>
            <c:ext xmlns:c16="http://schemas.microsoft.com/office/drawing/2014/chart" uri="{C3380CC4-5D6E-409C-BE32-E72D297353CC}">
              <c16:uniqueId val="{00000004-4D07-4009-ABBF-E719A1D680A3}"/>
            </c:ext>
          </c:extLst>
        </c:ser>
        <c:ser>
          <c:idx val="5"/>
          <c:order val="5"/>
          <c:tx>
            <c:strRef>
              <c:f>'Visualization Data'!$P$83:$P$84</c:f>
              <c:strCache>
                <c:ptCount val="1"/>
                <c:pt idx="0">
                  <c:v>Product 2</c:v>
                </c:pt>
              </c:strCache>
            </c:strRef>
          </c:tx>
          <c:spPr>
            <a:solidFill>
              <a:schemeClr val="accent6"/>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Data'!$P$85:$P$95</c:f>
              <c:numCache>
                <c:formatCode>General</c:formatCode>
                <c:ptCount val="10"/>
                <c:pt idx="0">
                  <c:v>0.05</c:v>
                </c:pt>
                <c:pt idx="1">
                  <c:v>7.0000000000000007E-2</c:v>
                </c:pt>
                <c:pt idx="3">
                  <c:v>0.06</c:v>
                </c:pt>
                <c:pt idx="4">
                  <c:v>0.06</c:v>
                </c:pt>
                <c:pt idx="6">
                  <c:v>0.05</c:v>
                </c:pt>
                <c:pt idx="7">
                  <c:v>0.05</c:v>
                </c:pt>
                <c:pt idx="8">
                  <c:v>0.06</c:v>
                </c:pt>
                <c:pt idx="9">
                  <c:v>0.04</c:v>
                </c:pt>
              </c:numCache>
            </c:numRef>
          </c:val>
          <c:extLst>
            <c:ext xmlns:c16="http://schemas.microsoft.com/office/drawing/2014/chart" uri="{C3380CC4-5D6E-409C-BE32-E72D297353CC}">
              <c16:uniqueId val="{00000005-4D07-4009-ABBF-E719A1D680A3}"/>
            </c:ext>
          </c:extLst>
        </c:ser>
        <c:ser>
          <c:idx val="6"/>
          <c:order val="6"/>
          <c:tx>
            <c:strRef>
              <c:f>'Visualization Data'!$Q$83:$Q$84</c:f>
              <c:strCache>
                <c:ptCount val="1"/>
                <c:pt idx="0">
                  <c:v>Product 2    </c:v>
                </c:pt>
              </c:strCache>
            </c:strRef>
          </c:tx>
          <c:spPr>
            <a:solidFill>
              <a:schemeClr val="accent1">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Data'!$Q$85:$Q$95</c:f>
              <c:numCache>
                <c:formatCode>General</c:formatCode>
                <c:ptCount val="10"/>
                <c:pt idx="2">
                  <c:v>0.04</c:v>
                </c:pt>
              </c:numCache>
            </c:numRef>
          </c:val>
          <c:extLst>
            <c:ext xmlns:c16="http://schemas.microsoft.com/office/drawing/2014/chart" uri="{C3380CC4-5D6E-409C-BE32-E72D297353CC}">
              <c16:uniqueId val="{00000006-4D07-4009-ABBF-E719A1D680A3}"/>
            </c:ext>
          </c:extLst>
        </c:ser>
        <c:ser>
          <c:idx val="7"/>
          <c:order val="7"/>
          <c:tx>
            <c:strRef>
              <c:f>'Visualization Data'!$R$83:$R$84</c:f>
              <c:strCache>
                <c:ptCount val="1"/>
                <c:pt idx="0">
                  <c:v>Product 3</c:v>
                </c:pt>
              </c:strCache>
            </c:strRef>
          </c:tx>
          <c:spPr>
            <a:solidFill>
              <a:schemeClr val="accent2">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Data'!$R$85:$R$95</c:f>
              <c:numCache>
                <c:formatCode>General</c:formatCode>
                <c:ptCount val="10"/>
                <c:pt idx="0">
                  <c:v>0.13</c:v>
                </c:pt>
                <c:pt idx="1">
                  <c:v>0.13</c:v>
                </c:pt>
                <c:pt idx="2">
                  <c:v>0.13</c:v>
                </c:pt>
                <c:pt idx="3">
                  <c:v>0.14000000000000001</c:v>
                </c:pt>
                <c:pt idx="4">
                  <c:v>0.12</c:v>
                </c:pt>
                <c:pt idx="6">
                  <c:v>0.13</c:v>
                </c:pt>
                <c:pt idx="7">
                  <c:v>10</c:v>
                </c:pt>
                <c:pt idx="8">
                  <c:v>0.14000000000000001</c:v>
                </c:pt>
                <c:pt idx="9">
                  <c:v>0.13</c:v>
                </c:pt>
              </c:numCache>
            </c:numRef>
          </c:val>
          <c:extLst>
            <c:ext xmlns:c16="http://schemas.microsoft.com/office/drawing/2014/chart" uri="{C3380CC4-5D6E-409C-BE32-E72D297353CC}">
              <c16:uniqueId val="{00000007-4D07-4009-ABBF-E719A1D680A3}"/>
            </c:ext>
          </c:extLst>
        </c:ser>
        <c:ser>
          <c:idx val="8"/>
          <c:order val="8"/>
          <c:tx>
            <c:strRef>
              <c:f>'Visualization Data'!$S$83:$S$84</c:f>
              <c:strCache>
                <c:ptCount val="1"/>
                <c:pt idx="0">
                  <c:v>Product 3   </c:v>
                </c:pt>
              </c:strCache>
            </c:strRef>
          </c:tx>
          <c:spPr>
            <a:solidFill>
              <a:schemeClr val="accent3">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Data'!$S$85:$S$95</c:f>
              <c:numCache>
                <c:formatCode>General</c:formatCode>
                <c:ptCount val="10"/>
                <c:pt idx="5">
                  <c:v>0.14000000000000001</c:v>
                </c:pt>
              </c:numCache>
            </c:numRef>
          </c:val>
          <c:extLst>
            <c:ext xmlns:c16="http://schemas.microsoft.com/office/drawing/2014/chart" uri="{C3380CC4-5D6E-409C-BE32-E72D297353CC}">
              <c16:uniqueId val="{00000008-4D07-4009-ABBF-E719A1D680A3}"/>
            </c:ext>
          </c:extLst>
        </c:ser>
        <c:ser>
          <c:idx val="9"/>
          <c:order val="9"/>
          <c:tx>
            <c:strRef>
              <c:f>'Visualization Data'!$T$83:$T$84</c:f>
              <c:strCache>
                <c:ptCount val="1"/>
                <c:pt idx="0">
                  <c:v>Product 4</c:v>
                </c:pt>
              </c:strCache>
            </c:strRef>
          </c:tx>
          <c:spPr>
            <a:solidFill>
              <a:schemeClr val="accent4">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Data'!$T$85:$T$95</c:f>
              <c:numCache>
                <c:formatCode>General</c:formatCode>
                <c:ptCount val="10"/>
                <c:pt idx="0">
                  <c:v>0.18</c:v>
                </c:pt>
                <c:pt idx="1">
                  <c:v>0.17099999999999999</c:v>
                </c:pt>
                <c:pt idx="2">
                  <c:v>0.16244999999999998</c:v>
                </c:pt>
                <c:pt idx="3">
                  <c:v>0.15432749999999998</c:v>
                </c:pt>
                <c:pt idx="5">
                  <c:v>0.12920298299999997</c:v>
                </c:pt>
                <c:pt idx="6">
                  <c:v>0.11499065486999997</c:v>
                </c:pt>
                <c:pt idx="7">
                  <c:v>0.10349158938299997</c:v>
                </c:pt>
                <c:pt idx="8">
                  <c:v>9.2107514550869976E-2</c:v>
                </c:pt>
                <c:pt idx="9">
                  <c:v>8.1975687950274281E-2</c:v>
                </c:pt>
              </c:numCache>
            </c:numRef>
          </c:val>
          <c:extLst>
            <c:ext xmlns:c16="http://schemas.microsoft.com/office/drawing/2014/chart" uri="{C3380CC4-5D6E-409C-BE32-E72D297353CC}">
              <c16:uniqueId val="{00000009-4D07-4009-ABBF-E719A1D680A3}"/>
            </c:ext>
          </c:extLst>
        </c:ser>
        <c:ser>
          <c:idx val="10"/>
          <c:order val="10"/>
          <c:tx>
            <c:strRef>
              <c:f>'Visualization Data'!$U$83:$U$84</c:f>
              <c:strCache>
                <c:ptCount val="1"/>
                <c:pt idx="0">
                  <c:v>Product 5</c:v>
                </c:pt>
              </c:strCache>
            </c:strRef>
          </c:tx>
          <c:spPr>
            <a:solidFill>
              <a:schemeClr val="accent5">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Data'!$U$85:$U$95</c:f>
              <c:numCache>
                <c:formatCode>General</c:formatCode>
                <c:ptCount val="10"/>
                <c:pt idx="0">
                  <c:v>0.11</c:v>
                </c:pt>
                <c:pt idx="1">
                  <c:v>0.09</c:v>
                </c:pt>
                <c:pt idx="3">
                  <c:v>0.1</c:v>
                </c:pt>
                <c:pt idx="4">
                  <c:v>7</c:v>
                </c:pt>
                <c:pt idx="5">
                  <c:v>0.1045</c:v>
                </c:pt>
                <c:pt idx="7">
                  <c:v>9.7600000000000006E-2</c:v>
                </c:pt>
                <c:pt idx="8">
                  <c:v>0.14000000000000001</c:v>
                </c:pt>
                <c:pt idx="9">
                  <c:v>0.1089</c:v>
                </c:pt>
              </c:numCache>
            </c:numRef>
          </c:val>
          <c:extLst>
            <c:ext xmlns:c16="http://schemas.microsoft.com/office/drawing/2014/chart" uri="{C3380CC4-5D6E-409C-BE32-E72D297353CC}">
              <c16:uniqueId val="{0000000A-4D07-4009-ABBF-E719A1D680A3}"/>
            </c:ext>
          </c:extLst>
        </c:ser>
        <c:ser>
          <c:idx val="11"/>
          <c:order val="11"/>
          <c:tx>
            <c:strRef>
              <c:f>'Visualization Data'!$V$83:$V$84</c:f>
              <c:strCache>
                <c:ptCount val="1"/>
                <c:pt idx="0">
                  <c:v>Product 5    </c:v>
                </c:pt>
              </c:strCache>
            </c:strRef>
          </c:tx>
          <c:spPr>
            <a:solidFill>
              <a:schemeClr val="accent6">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Data'!$V$85:$V$95</c:f>
              <c:numCache>
                <c:formatCode>General</c:formatCode>
                <c:ptCount val="10"/>
                <c:pt idx="2">
                  <c:v>0.12</c:v>
                </c:pt>
              </c:numCache>
            </c:numRef>
          </c:val>
          <c:extLst>
            <c:ext xmlns:c16="http://schemas.microsoft.com/office/drawing/2014/chart" uri="{C3380CC4-5D6E-409C-BE32-E72D297353CC}">
              <c16:uniqueId val="{0000000B-4D07-4009-ABBF-E719A1D680A3}"/>
            </c:ext>
          </c:extLst>
        </c:ser>
        <c:dLbls>
          <c:showLegendKey val="0"/>
          <c:showVal val="0"/>
          <c:showCatName val="0"/>
          <c:showSerName val="0"/>
          <c:showPercent val="0"/>
          <c:showBubbleSize val="0"/>
        </c:dLbls>
        <c:axId val="1513413680"/>
        <c:axId val="1513423760"/>
      </c:areaChart>
      <c:catAx>
        <c:axId val="1513413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23760"/>
        <c:crosses val="autoZero"/>
        <c:auto val="1"/>
        <c:lblAlgn val="ctr"/>
        <c:lblOffset val="100"/>
        <c:noMultiLvlLbl val="0"/>
      </c:catAx>
      <c:valAx>
        <c:axId val="151342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136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[Midterm_pranav.xlsx]Visualization Data!PivotTable13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 Data'!$K$117</c:f>
              <c:strCache>
                <c:ptCount val="1"/>
                <c:pt idx="0">
                  <c:v>Total</c:v>
                </c:pt>
              </c:strCache>
            </c:strRef>
          </c:tx>
          <c:spPr>
            <a:solidFill>
              <a:schemeClr val="accent1"/>
            </a:solidFill>
            <a:ln>
              <a:noFill/>
            </a:ln>
            <a:effectLst/>
          </c:spPr>
          <c:invertIfNegative val="0"/>
          <c:cat>
            <c:strRef>
              <c:f>'Visualization Data'!$J$118:$J$130</c:f>
              <c:strCache>
                <c:ptCount val="12"/>
                <c:pt idx="0">
                  <c:v>   Product 4</c:v>
                </c:pt>
                <c:pt idx="1">
                  <c:v>  Product 1</c:v>
                </c:pt>
                <c:pt idx="2">
                  <c:v>  Product 2</c:v>
                </c:pt>
                <c:pt idx="3">
                  <c:v>  Product 5</c:v>
                </c:pt>
                <c:pt idx="4">
                  <c:v>Product 1</c:v>
                </c:pt>
                <c:pt idx="5">
                  <c:v>Product 2</c:v>
                </c:pt>
                <c:pt idx="6">
                  <c:v>Product 2    </c:v>
                </c:pt>
                <c:pt idx="7">
                  <c:v>Product 3</c:v>
                </c:pt>
                <c:pt idx="8">
                  <c:v>Product 3   </c:v>
                </c:pt>
                <c:pt idx="9">
                  <c:v>Product 4</c:v>
                </c:pt>
                <c:pt idx="10">
                  <c:v>Product 5</c:v>
                </c:pt>
                <c:pt idx="11">
                  <c:v>Product 5    </c:v>
                </c:pt>
              </c:strCache>
            </c:strRef>
          </c:cat>
          <c:val>
            <c:numRef>
              <c:f>'Visualization Data'!$K$118:$K$130</c:f>
              <c:numCache>
                <c:formatCode>General</c:formatCode>
                <c:ptCount val="12"/>
                <c:pt idx="0">
                  <c:v>0.12260869565217392</c:v>
                </c:pt>
                <c:pt idx="1">
                  <c:v>0.10329317269076305</c:v>
                </c:pt>
                <c:pt idx="2">
                  <c:v>0.24678474549226104</c:v>
                </c:pt>
                <c:pt idx="3">
                  <c:v>0.25</c:v>
                </c:pt>
                <c:pt idx="4">
                  <c:v>-0.15337596618786214</c:v>
                </c:pt>
                <c:pt idx="5">
                  <c:v>0.27411060564411516</c:v>
                </c:pt>
                <c:pt idx="6">
                  <c:v>0.27321357637816129</c:v>
                </c:pt>
                <c:pt idx="7">
                  <c:v>#N/A</c:v>
                </c:pt>
                <c:pt idx="8">
                  <c:v>5.0129611791148804E-2</c:v>
                </c:pt>
                <c:pt idx="9">
                  <c:v>0.12108849673986846</c:v>
                </c:pt>
                <c:pt idx="10">
                  <c:v>0.25833333333333336</c:v>
                </c:pt>
                <c:pt idx="11">
                  <c:v>0.33333333333333331</c:v>
                </c:pt>
              </c:numCache>
            </c:numRef>
          </c:val>
          <c:extLst>
            <c:ext xmlns:c16="http://schemas.microsoft.com/office/drawing/2014/chart" uri="{C3380CC4-5D6E-409C-BE32-E72D297353CC}">
              <c16:uniqueId val="{00000000-F127-4809-8AF1-88DD69A14CE6}"/>
            </c:ext>
          </c:extLst>
        </c:ser>
        <c:dLbls>
          <c:showLegendKey val="0"/>
          <c:showVal val="0"/>
          <c:showCatName val="0"/>
          <c:showSerName val="0"/>
          <c:showPercent val="0"/>
          <c:showBubbleSize val="0"/>
        </c:dLbls>
        <c:gapWidth val="182"/>
        <c:axId val="2130313424"/>
        <c:axId val="2130311024"/>
      </c:barChart>
      <c:catAx>
        <c:axId val="213031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11024"/>
        <c:crosses val="autoZero"/>
        <c:auto val="1"/>
        <c:lblAlgn val="ctr"/>
        <c:lblOffset val="100"/>
        <c:noMultiLvlLbl val="0"/>
      </c:catAx>
      <c:valAx>
        <c:axId val="2130311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1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[Midterm_pranav.xlsx]Visualization Data!PivotTable7</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'Visualization Data'!$K$25:$K$26</c:f>
              <c:strCache>
                <c:ptCount val="1"/>
                <c:pt idx="0">
                  <c:v>   Product 4</c:v>
                </c:pt>
              </c:strCache>
            </c:strRef>
          </c:tx>
          <c:spPr>
            <a:solidFill>
              <a:schemeClr val="accent1"/>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Data'!$K$27:$K$37</c:f>
              <c:numCache>
                <c:formatCode>General</c:formatCode>
                <c:ptCount val="10"/>
                <c:pt idx="4">
                  <c:v>324136.22244639997</c:v>
                </c:pt>
              </c:numCache>
            </c:numRef>
          </c:val>
          <c:extLst>
            <c:ext xmlns:c16="http://schemas.microsoft.com/office/drawing/2014/chart" uri="{C3380CC4-5D6E-409C-BE32-E72D297353CC}">
              <c16:uniqueId val="{00000000-93A1-4136-9F7E-7AEA6B6541AE}"/>
            </c:ext>
          </c:extLst>
        </c:ser>
        <c:ser>
          <c:idx val="1"/>
          <c:order val="1"/>
          <c:tx>
            <c:strRef>
              <c:f>'Visualization Data'!$L$25:$L$26</c:f>
              <c:strCache>
                <c:ptCount val="1"/>
                <c:pt idx="0">
                  <c:v>  Product 1</c:v>
                </c:pt>
              </c:strCache>
            </c:strRef>
          </c:tx>
          <c:spPr>
            <a:solidFill>
              <a:schemeClr val="accent2"/>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Data'!$L$27:$L$37</c:f>
              <c:numCache>
                <c:formatCode>General</c:formatCode>
                <c:ptCount val="10"/>
                <c:pt idx="4">
                  <c:v>199200</c:v>
                </c:pt>
              </c:numCache>
            </c:numRef>
          </c:val>
          <c:extLst>
            <c:ext xmlns:c16="http://schemas.microsoft.com/office/drawing/2014/chart" uri="{C3380CC4-5D6E-409C-BE32-E72D297353CC}">
              <c16:uniqueId val="{00000001-93A1-4136-9F7E-7AEA6B6541AE}"/>
            </c:ext>
          </c:extLst>
        </c:ser>
        <c:ser>
          <c:idx val="2"/>
          <c:order val="2"/>
          <c:tx>
            <c:strRef>
              <c:f>'Visualization Data'!$M$25:$M$26</c:f>
              <c:strCache>
                <c:ptCount val="1"/>
                <c:pt idx="0">
                  <c:v>  Product 2</c:v>
                </c:pt>
              </c:strCache>
            </c:strRef>
          </c:tx>
          <c:spPr>
            <a:solidFill>
              <a:schemeClr val="accent3"/>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Data'!$M$27:$M$37</c:f>
              <c:numCache>
                <c:formatCode>General</c:formatCode>
                <c:ptCount val="10"/>
                <c:pt idx="5">
                  <c:v>250680</c:v>
                </c:pt>
              </c:numCache>
            </c:numRef>
          </c:val>
          <c:extLst>
            <c:ext xmlns:c16="http://schemas.microsoft.com/office/drawing/2014/chart" uri="{C3380CC4-5D6E-409C-BE32-E72D297353CC}">
              <c16:uniqueId val="{00000002-93A1-4136-9F7E-7AEA6B6541AE}"/>
            </c:ext>
          </c:extLst>
        </c:ser>
        <c:ser>
          <c:idx val="3"/>
          <c:order val="3"/>
          <c:tx>
            <c:strRef>
              <c:f>'Visualization Data'!$N$25:$N$26</c:f>
              <c:strCache>
                <c:ptCount val="1"/>
                <c:pt idx="0">
                  <c:v>  Product 5</c:v>
                </c:pt>
              </c:strCache>
            </c:strRef>
          </c:tx>
          <c:spPr>
            <a:solidFill>
              <a:schemeClr val="accent4"/>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Data'!$N$27:$N$37</c:f>
              <c:numCache>
                <c:formatCode>General</c:formatCode>
                <c:ptCount val="10"/>
                <c:pt idx="6">
                  <c:v>130720</c:v>
                </c:pt>
              </c:numCache>
            </c:numRef>
          </c:val>
          <c:extLst>
            <c:ext xmlns:c16="http://schemas.microsoft.com/office/drawing/2014/chart" uri="{C3380CC4-5D6E-409C-BE32-E72D297353CC}">
              <c16:uniqueId val="{00000003-93A1-4136-9F7E-7AEA6B6541AE}"/>
            </c:ext>
          </c:extLst>
        </c:ser>
        <c:ser>
          <c:idx val="4"/>
          <c:order val="4"/>
          <c:tx>
            <c:strRef>
              <c:f>'Visualization Data'!$O$25:$O$26</c:f>
              <c:strCache>
                <c:ptCount val="1"/>
                <c:pt idx="0">
                  <c:v>Product 1</c:v>
                </c:pt>
              </c:strCache>
            </c:strRef>
          </c:tx>
          <c:spPr>
            <a:solidFill>
              <a:schemeClr val="accent5"/>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Data'!$O$27:$O$37</c:f>
              <c:numCache>
                <c:formatCode>General</c:formatCode>
                <c:ptCount val="10"/>
                <c:pt idx="0">
                  <c:v>12450</c:v>
                </c:pt>
                <c:pt idx="1">
                  <c:v>24900</c:v>
                </c:pt>
                <c:pt idx="2">
                  <c:v>49800</c:v>
                </c:pt>
                <c:pt idx="3">
                  <c:v>99600</c:v>
                </c:pt>
                <c:pt idx="5">
                  <c:v>398400</c:v>
                </c:pt>
                <c:pt idx="6">
                  <c:v>426732</c:v>
                </c:pt>
                <c:pt idx="7">
                  <c:v>452782</c:v>
                </c:pt>
                <c:pt idx="8">
                  <c:v>478123</c:v>
                </c:pt>
                <c:pt idx="9">
                  <c:v>492823</c:v>
                </c:pt>
              </c:numCache>
            </c:numRef>
          </c:val>
          <c:extLst>
            <c:ext xmlns:c16="http://schemas.microsoft.com/office/drawing/2014/chart" uri="{C3380CC4-5D6E-409C-BE32-E72D297353CC}">
              <c16:uniqueId val="{00000004-93A1-4136-9F7E-7AEA6B6541AE}"/>
            </c:ext>
          </c:extLst>
        </c:ser>
        <c:ser>
          <c:idx val="5"/>
          <c:order val="5"/>
          <c:tx>
            <c:strRef>
              <c:f>'Visualization Data'!$P$25:$P$26</c:f>
              <c:strCache>
                <c:ptCount val="1"/>
                <c:pt idx="0">
                  <c:v>Product 2</c:v>
                </c:pt>
              </c:strCache>
            </c:strRef>
          </c:tx>
          <c:spPr>
            <a:solidFill>
              <a:schemeClr val="accent6"/>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Data'!$P$27:$P$37</c:f>
              <c:numCache>
                <c:formatCode>General</c:formatCode>
                <c:ptCount val="10"/>
                <c:pt idx="0">
                  <c:v>235888</c:v>
                </c:pt>
                <c:pt idx="1">
                  <c:v>203024</c:v>
                </c:pt>
                <c:pt idx="3">
                  <c:v>246739</c:v>
                </c:pt>
                <c:pt idx="4">
                  <c:v>224898</c:v>
                </c:pt>
                <c:pt idx="6">
                  <c:v>209309</c:v>
                </c:pt>
                <c:pt idx="7">
                  <c:v>235713</c:v>
                </c:pt>
                <c:pt idx="8">
                  <c:v>232016</c:v>
                </c:pt>
                <c:pt idx="9">
                  <c:v>210222</c:v>
                </c:pt>
              </c:numCache>
            </c:numRef>
          </c:val>
          <c:extLst>
            <c:ext xmlns:c16="http://schemas.microsoft.com/office/drawing/2014/chart" uri="{C3380CC4-5D6E-409C-BE32-E72D297353CC}">
              <c16:uniqueId val="{00000005-93A1-4136-9F7E-7AEA6B6541AE}"/>
            </c:ext>
          </c:extLst>
        </c:ser>
        <c:ser>
          <c:idx val="6"/>
          <c:order val="6"/>
          <c:tx>
            <c:strRef>
              <c:f>'Visualization Data'!$Q$25:$Q$26</c:f>
              <c:strCache>
                <c:ptCount val="1"/>
                <c:pt idx="0">
                  <c:v>Product 2    </c:v>
                </c:pt>
              </c:strCache>
            </c:strRef>
          </c:tx>
          <c:spPr>
            <a:solidFill>
              <a:schemeClr val="accent1">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Data'!$Q$27:$Q$37</c:f>
              <c:numCache>
                <c:formatCode>General</c:formatCode>
                <c:ptCount val="10"/>
                <c:pt idx="2">
                  <c:v>226570</c:v>
                </c:pt>
              </c:numCache>
            </c:numRef>
          </c:val>
          <c:extLst>
            <c:ext xmlns:c16="http://schemas.microsoft.com/office/drawing/2014/chart" uri="{C3380CC4-5D6E-409C-BE32-E72D297353CC}">
              <c16:uniqueId val="{00000006-93A1-4136-9F7E-7AEA6B6541AE}"/>
            </c:ext>
          </c:extLst>
        </c:ser>
        <c:ser>
          <c:idx val="7"/>
          <c:order val="7"/>
          <c:tx>
            <c:strRef>
              <c:f>'Visualization Data'!$R$25:$R$26</c:f>
              <c:strCache>
                <c:ptCount val="1"/>
                <c:pt idx="0">
                  <c:v>Product 3</c:v>
                </c:pt>
              </c:strCache>
            </c:strRef>
          </c:tx>
          <c:spPr>
            <a:solidFill>
              <a:schemeClr val="accent2">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Data'!$R$27:$R$37</c:f>
              <c:numCache>
                <c:formatCode>General</c:formatCode>
                <c:ptCount val="10"/>
                <c:pt idx="0">
                  <c:v>145318</c:v>
                </c:pt>
                <c:pt idx="1">
                  <c:v>98046</c:v>
                </c:pt>
                <c:pt idx="2">
                  <c:v>120729</c:v>
                </c:pt>
                <c:pt idx="3">
                  <c:v>159714</c:v>
                </c:pt>
                <c:pt idx="4">
                  <c:v>153627</c:v>
                </c:pt>
                <c:pt idx="6">
                  <c:v>103829</c:v>
                </c:pt>
                <c:pt idx="7">
                  <c:v>163953</c:v>
                </c:pt>
                <c:pt idx="8">
                  <c:v>131279</c:v>
                </c:pt>
                <c:pt idx="9">
                  <c:v>156634</c:v>
                </c:pt>
              </c:numCache>
            </c:numRef>
          </c:val>
          <c:extLst>
            <c:ext xmlns:c16="http://schemas.microsoft.com/office/drawing/2014/chart" uri="{C3380CC4-5D6E-409C-BE32-E72D297353CC}">
              <c16:uniqueId val="{00000007-93A1-4136-9F7E-7AEA6B6541AE}"/>
            </c:ext>
          </c:extLst>
        </c:ser>
        <c:ser>
          <c:idx val="8"/>
          <c:order val="8"/>
          <c:tx>
            <c:strRef>
              <c:f>'Visualization Data'!$S$25:$S$26</c:f>
              <c:strCache>
                <c:ptCount val="1"/>
                <c:pt idx="0">
                  <c:v>Product 3   </c:v>
                </c:pt>
              </c:strCache>
            </c:strRef>
          </c:tx>
          <c:spPr>
            <a:solidFill>
              <a:schemeClr val="accent3">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Data'!$S$27:$S$37</c:f>
              <c:numCache>
                <c:formatCode>General</c:formatCode>
                <c:ptCount val="10"/>
                <c:pt idx="5">
                  <c:v>127689</c:v>
                </c:pt>
              </c:numCache>
            </c:numRef>
          </c:val>
          <c:extLst>
            <c:ext xmlns:c16="http://schemas.microsoft.com/office/drawing/2014/chart" uri="{C3380CC4-5D6E-409C-BE32-E72D297353CC}">
              <c16:uniqueId val="{00000008-93A1-4136-9F7E-7AEA6B6541AE}"/>
            </c:ext>
          </c:extLst>
        </c:ser>
        <c:ser>
          <c:idx val="9"/>
          <c:order val="9"/>
          <c:tx>
            <c:strRef>
              <c:f>'Visualization Data'!$T$25:$T$26</c:f>
              <c:strCache>
                <c:ptCount val="1"/>
                <c:pt idx="0">
                  <c:v>Product 4</c:v>
                </c:pt>
              </c:strCache>
            </c:strRef>
          </c:tx>
          <c:spPr>
            <a:solidFill>
              <a:schemeClr val="accent4">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Data'!$T$27:$T$37</c:f>
              <c:numCache>
                <c:formatCode>General</c:formatCode>
                <c:ptCount val="10"/>
                <c:pt idx="0">
                  <c:v>438170</c:v>
                </c:pt>
                <c:pt idx="1">
                  <c:v>411879.8</c:v>
                </c:pt>
                <c:pt idx="2">
                  <c:v>387167.01199999999</c:v>
                </c:pt>
                <c:pt idx="3">
                  <c:v>352321.98092</c:v>
                </c:pt>
                <c:pt idx="5">
                  <c:v>307929.41132407996</c:v>
                </c:pt>
                <c:pt idx="6">
                  <c:v>274057.17607843119</c:v>
                </c:pt>
                <c:pt idx="7">
                  <c:v>249392.0302313724</c:v>
                </c:pt>
                <c:pt idx="8">
                  <c:v>221958.90690592144</c:v>
                </c:pt>
                <c:pt idx="9">
                  <c:v>199763.01621532929</c:v>
                </c:pt>
              </c:numCache>
            </c:numRef>
          </c:val>
          <c:extLst>
            <c:ext xmlns:c16="http://schemas.microsoft.com/office/drawing/2014/chart" uri="{C3380CC4-5D6E-409C-BE32-E72D297353CC}">
              <c16:uniqueId val="{00000009-93A1-4136-9F7E-7AEA6B6541AE}"/>
            </c:ext>
          </c:extLst>
        </c:ser>
        <c:ser>
          <c:idx val="10"/>
          <c:order val="10"/>
          <c:tx>
            <c:strRef>
              <c:f>'Visualization Data'!$U$25:$U$26</c:f>
              <c:strCache>
                <c:ptCount val="1"/>
                <c:pt idx="0">
                  <c:v>Product 5</c:v>
                </c:pt>
              </c:strCache>
            </c:strRef>
          </c:tx>
          <c:spPr>
            <a:solidFill>
              <a:schemeClr val="accent5">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Data'!$U$27:$U$37</c:f>
              <c:numCache>
                <c:formatCode>General</c:formatCode>
                <c:ptCount val="10"/>
                <c:pt idx="0">
                  <c:v>132408</c:v>
                </c:pt>
                <c:pt idx="1">
                  <c:v>125473</c:v>
                </c:pt>
                <c:pt idx="3">
                  <c:v>128478</c:v>
                </c:pt>
                <c:pt idx="4">
                  <c:v>123742</c:v>
                </c:pt>
                <c:pt idx="5">
                  <c:v>129465</c:v>
                </c:pt>
                <c:pt idx="7">
                  <c:v>127120</c:v>
                </c:pt>
                <c:pt idx="8">
                  <c:v>138274</c:v>
                </c:pt>
                <c:pt idx="9">
                  <c:v>131792</c:v>
                </c:pt>
              </c:numCache>
            </c:numRef>
          </c:val>
          <c:extLst>
            <c:ext xmlns:c16="http://schemas.microsoft.com/office/drawing/2014/chart" uri="{C3380CC4-5D6E-409C-BE32-E72D297353CC}">
              <c16:uniqueId val="{0000000A-93A1-4136-9F7E-7AEA6B6541AE}"/>
            </c:ext>
          </c:extLst>
        </c:ser>
        <c:ser>
          <c:idx val="11"/>
          <c:order val="11"/>
          <c:tx>
            <c:strRef>
              <c:f>'Visualization Data'!$V$25:$V$26</c:f>
              <c:strCache>
                <c:ptCount val="1"/>
                <c:pt idx="0">
                  <c:v>Product 5    </c:v>
                </c:pt>
              </c:strCache>
            </c:strRef>
          </c:tx>
          <c:spPr>
            <a:solidFill>
              <a:schemeClr val="accent6">
                <a:lumMod val="60000"/>
              </a:schemeClr>
            </a:solidFill>
            <a:ln>
              <a:noFill/>
            </a:ln>
            <a:effectLst/>
            <a:sp3d/>
          </c:spPr>
          <c:invertIfNegative val="0"/>
          <c:cat>
            <c:strRef>
              <c:f>'Visualization Data'!$J$27:$J$37</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Data'!$V$27:$V$37</c:f>
              <c:numCache>
                <c:formatCode>General</c:formatCode>
                <c:ptCount val="10"/>
                <c:pt idx="2">
                  <c:v>134296</c:v>
                </c:pt>
              </c:numCache>
            </c:numRef>
          </c:val>
          <c:extLst>
            <c:ext xmlns:c16="http://schemas.microsoft.com/office/drawing/2014/chart" uri="{C3380CC4-5D6E-409C-BE32-E72D297353CC}">
              <c16:uniqueId val="{0000000B-93A1-4136-9F7E-7AEA6B6541AE}"/>
            </c:ext>
          </c:extLst>
        </c:ser>
        <c:dLbls>
          <c:showLegendKey val="0"/>
          <c:showVal val="0"/>
          <c:showCatName val="0"/>
          <c:showSerName val="0"/>
          <c:showPercent val="0"/>
          <c:showBubbleSize val="0"/>
        </c:dLbls>
        <c:gapWidth val="150"/>
        <c:shape val="box"/>
        <c:axId val="1928619200"/>
        <c:axId val="1928644160"/>
        <c:axId val="0"/>
      </c:bar3DChart>
      <c:catAx>
        <c:axId val="1928619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44160"/>
        <c:crosses val="autoZero"/>
        <c:auto val="1"/>
        <c:lblAlgn val="ctr"/>
        <c:lblOffset val="100"/>
        <c:noMultiLvlLbl val="0"/>
      </c:catAx>
      <c:valAx>
        <c:axId val="192864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1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[Midterm_pranav.xlsx]Visualization Data!PivotTable8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'Visualization Data'!$K$59:$K$60</c:f>
              <c:strCache>
                <c:ptCount val="1"/>
                <c:pt idx="0">
                  <c:v>   Product 4</c:v>
                </c:pt>
              </c:strCache>
            </c:strRef>
          </c:tx>
          <c:spPr>
            <a:solidFill>
              <a:schemeClr val="accent1"/>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Data'!$K$61:$K$71</c:f>
              <c:numCache>
                <c:formatCode>General</c:formatCode>
                <c:ptCount val="10"/>
                <c:pt idx="4">
                  <c:v>39741.919447775996</c:v>
                </c:pt>
              </c:numCache>
            </c:numRef>
          </c:val>
          <c:extLst>
            <c:ext xmlns:c16="http://schemas.microsoft.com/office/drawing/2014/chart" uri="{C3380CC4-5D6E-409C-BE32-E72D297353CC}">
              <c16:uniqueId val="{00000000-4FD6-4442-B603-BB59F5A7371C}"/>
            </c:ext>
          </c:extLst>
        </c:ser>
        <c:ser>
          <c:idx val="1"/>
          <c:order val="1"/>
          <c:tx>
            <c:strRef>
              <c:f>'Visualization Data'!$L$59:$L$60</c:f>
              <c:strCache>
                <c:ptCount val="1"/>
                <c:pt idx="0">
                  <c:v>  Product 1</c:v>
                </c:pt>
              </c:strCache>
            </c:strRef>
          </c:tx>
          <c:spPr>
            <a:solidFill>
              <a:schemeClr val="accent2"/>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Data'!$L$61:$L$71</c:f>
              <c:numCache>
                <c:formatCode>General</c:formatCode>
                <c:ptCount val="10"/>
                <c:pt idx="4">
                  <c:v>20576</c:v>
                </c:pt>
              </c:numCache>
            </c:numRef>
          </c:val>
          <c:extLst>
            <c:ext xmlns:c16="http://schemas.microsoft.com/office/drawing/2014/chart" uri="{C3380CC4-5D6E-409C-BE32-E72D297353CC}">
              <c16:uniqueId val="{00000001-4FD6-4442-B603-BB59F5A7371C}"/>
            </c:ext>
          </c:extLst>
        </c:ser>
        <c:ser>
          <c:idx val="2"/>
          <c:order val="2"/>
          <c:tx>
            <c:strRef>
              <c:f>'Visualization Data'!$M$59:$M$60</c:f>
              <c:strCache>
                <c:ptCount val="1"/>
                <c:pt idx="0">
                  <c:v>  Product 2</c:v>
                </c:pt>
              </c:strCache>
            </c:strRef>
          </c:tx>
          <c:spPr>
            <a:solidFill>
              <a:schemeClr val="accent3"/>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Data'!$M$61:$M$71</c:f>
              <c:numCache>
                <c:formatCode>General</c:formatCode>
                <c:ptCount val="10"/>
                <c:pt idx="5">
                  <c:v>61864</c:v>
                </c:pt>
              </c:numCache>
            </c:numRef>
          </c:val>
          <c:extLst>
            <c:ext xmlns:c16="http://schemas.microsoft.com/office/drawing/2014/chart" uri="{C3380CC4-5D6E-409C-BE32-E72D297353CC}">
              <c16:uniqueId val="{00000002-4FD6-4442-B603-BB59F5A7371C}"/>
            </c:ext>
          </c:extLst>
        </c:ser>
        <c:ser>
          <c:idx val="3"/>
          <c:order val="3"/>
          <c:tx>
            <c:strRef>
              <c:f>'Visualization Data'!$N$59:$N$60</c:f>
              <c:strCache>
                <c:ptCount val="1"/>
                <c:pt idx="0">
                  <c:v>  Product 5</c:v>
                </c:pt>
              </c:strCache>
            </c:strRef>
          </c:tx>
          <c:spPr>
            <a:solidFill>
              <a:schemeClr val="accent4"/>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Data'!$N$61:$N$71</c:f>
              <c:numCache>
                <c:formatCode>General</c:formatCode>
                <c:ptCount val="10"/>
                <c:pt idx="6">
                  <c:v>32680</c:v>
                </c:pt>
              </c:numCache>
            </c:numRef>
          </c:val>
          <c:extLst>
            <c:ext xmlns:c16="http://schemas.microsoft.com/office/drawing/2014/chart" uri="{C3380CC4-5D6E-409C-BE32-E72D297353CC}">
              <c16:uniqueId val="{00000003-4FD6-4442-B603-BB59F5A7371C}"/>
            </c:ext>
          </c:extLst>
        </c:ser>
        <c:ser>
          <c:idx val="4"/>
          <c:order val="4"/>
          <c:tx>
            <c:strRef>
              <c:f>'Visualization Data'!$O$59:$O$60</c:f>
              <c:strCache>
                <c:ptCount val="1"/>
                <c:pt idx="0">
                  <c:v>Product 1</c:v>
                </c:pt>
              </c:strCache>
            </c:strRef>
          </c:tx>
          <c:spPr>
            <a:solidFill>
              <a:schemeClr val="accent5"/>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Data'!$O$61:$O$71</c:f>
              <c:numCache>
                <c:formatCode>General</c:formatCode>
                <c:ptCount val="10"/>
                <c:pt idx="0">
                  <c:v>-23587</c:v>
                </c:pt>
                <c:pt idx="1">
                  <c:v>-10341</c:v>
                </c:pt>
                <c:pt idx="2">
                  <c:v>-1943</c:v>
                </c:pt>
                <c:pt idx="3">
                  <c:v>11632</c:v>
                </c:pt>
                <c:pt idx="5">
                  <c:v>43734</c:v>
                </c:pt>
                <c:pt idx="6">
                  <c:v>60182</c:v>
                </c:pt>
                <c:pt idx="7">
                  <c:v>83812</c:v>
                </c:pt>
                <c:pt idx="8">
                  <c:v>93672</c:v>
                </c:pt>
                <c:pt idx="9">
                  <c:v>108352</c:v>
                </c:pt>
              </c:numCache>
            </c:numRef>
          </c:val>
          <c:extLst>
            <c:ext xmlns:c16="http://schemas.microsoft.com/office/drawing/2014/chart" uri="{C3380CC4-5D6E-409C-BE32-E72D297353CC}">
              <c16:uniqueId val="{00000004-4FD6-4442-B603-BB59F5A7371C}"/>
            </c:ext>
          </c:extLst>
        </c:ser>
        <c:ser>
          <c:idx val="5"/>
          <c:order val="5"/>
          <c:tx>
            <c:strRef>
              <c:f>'Visualization Data'!$P$59:$P$60</c:f>
              <c:strCache>
                <c:ptCount val="1"/>
                <c:pt idx="0">
                  <c:v>Product 2</c:v>
                </c:pt>
              </c:strCache>
            </c:strRef>
          </c:tx>
          <c:spPr>
            <a:solidFill>
              <a:schemeClr val="accent6"/>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Data'!$P$61:$P$71</c:f>
              <c:numCache>
                <c:formatCode>General</c:formatCode>
                <c:ptCount val="10"/>
                <c:pt idx="0">
                  <c:v>63823</c:v>
                </c:pt>
                <c:pt idx="1">
                  <c:v>60289</c:v>
                </c:pt>
                <c:pt idx="3">
                  <c:v>62340</c:v>
                </c:pt>
                <c:pt idx="4">
                  <c:v>59786</c:v>
                </c:pt>
                <c:pt idx="6">
                  <c:v>58234</c:v>
                </c:pt>
                <c:pt idx="7">
                  <c:v>62890</c:v>
                </c:pt>
                <c:pt idx="8">
                  <c:v>63276</c:v>
                </c:pt>
                <c:pt idx="9">
                  <c:v>60780</c:v>
                </c:pt>
              </c:numCache>
            </c:numRef>
          </c:val>
          <c:extLst>
            <c:ext xmlns:c16="http://schemas.microsoft.com/office/drawing/2014/chart" uri="{C3380CC4-5D6E-409C-BE32-E72D297353CC}">
              <c16:uniqueId val="{00000005-4FD6-4442-B603-BB59F5A7371C}"/>
            </c:ext>
          </c:extLst>
        </c:ser>
        <c:ser>
          <c:idx val="6"/>
          <c:order val="6"/>
          <c:tx>
            <c:strRef>
              <c:f>'Visualization Data'!$Q$59:$Q$60</c:f>
              <c:strCache>
                <c:ptCount val="1"/>
                <c:pt idx="0">
                  <c:v>Product 2    </c:v>
                </c:pt>
              </c:strCache>
            </c:strRef>
          </c:tx>
          <c:spPr>
            <a:solidFill>
              <a:schemeClr val="accent1">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Data'!$Q$61:$Q$71</c:f>
              <c:numCache>
                <c:formatCode>General</c:formatCode>
                <c:ptCount val="10"/>
                <c:pt idx="2">
                  <c:v>61902</c:v>
                </c:pt>
              </c:numCache>
            </c:numRef>
          </c:val>
          <c:extLst>
            <c:ext xmlns:c16="http://schemas.microsoft.com/office/drawing/2014/chart" uri="{C3380CC4-5D6E-409C-BE32-E72D297353CC}">
              <c16:uniqueId val="{00000006-4FD6-4442-B603-BB59F5A7371C}"/>
            </c:ext>
          </c:extLst>
        </c:ser>
        <c:ser>
          <c:idx val="7"/>
          <c:order val="7"/>
          <c:tx>
            <c:strRef>
              <c:f>'Visualization Data'!$R$59:$R$60</c:f>
              <c:strCache>
                <c:ptCount val="1"/>
                <c:pt idx="0">
                  <c:v>Product 3</c:v>
                </c:pt>
              </c:strCache>
            </c:strRef>
          </c:tx>
          <c:spPr>
            <a:solidFill>
              <a:schemeClr val="accent2">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Data'!$R$61:$R$71</c:f>
              <c:numCache>
                <c:formatCode>General</c:formatCode>
                <c:ptCount val="10"/>
                <c:pt idx="0">
                  <c:v>-30324</c:v>
                </c:pt>
                <c:pt idx="1">
                  <c:v>-28634</c:v>
                </c:pt>
                <c:pt idx="2">
                  <c:v>-21015</c:v>
                </c:pt>
                <c:pt idx="3">
                  <c:v>8025</c:v>
                </c:pt>
                <c:pt idx="4">
                  <c:v>-1171</c:v>
                </c:pt>
                <c:pt idx="6">
                  <c:v>-14651</c:v>
                </c:pt>
                <c:pt idx="7">
                  <c:v>5007</c:v>
                </c:pt>
                <c:pt idx="8">
                  <c:v>10446</c:v>
                </c:pt>
                <c:pt idx="9">
                  <c:v>-23359</c:v>
                </c:pt>
              </c:numCache>
            </c:numRef>
          </c:val>
          <c:extLst>
            <c:ext xmlns:c16="http://schemas.microsoft.com/office/drawing/2014/chart" uri="{C3380CC4-5D6E-409C-BE32-E72D297353CC}">
              <c16:uniqueId val="{00000007-4FD6-4442-B603-BB59F5A7371C}"/>
            </c:ext>
          </c:extLst>
        </c:ser>
        <c:ser>
          <c:idx val="8"/>
          <c:order val="8"/>
          <c:tx>
            <c:strRef>
              <c:f>'Visualization Data'!$S$59:$S$60</c:f>
              <c:strCache>
                <c:ptCount val="1"/>
                <c:pt idx="0">
                  <c:v>Product 3   </c:v>
                </c:pt>
              </c:strCache>
            </c:strRef>
          </c:tx>
          <c:spPr>
            <a:solidFill>
              <a:schemeClr val="accent3">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Data'!$S$61:$S$71</c:f>
              <c:numCache>
                <c:formatCode>General</c:formatCode>
                <c:ptCount val="10"/>
                <c:pt idx="5">
                  <c:v>6401</c:v>
                </c:pt>
              </c:numCache>
            </c:numRef>
          </c:val>
          <c:extLst>
            <c:ext xmlns:c16="http://schemas.microsoft.com/office/drawing/2014/chart" uri="{C3380CC4-5D6E-409C-BE32-E72D297353CC}">
              <c16:uniqueId val="{00000008-4FD6-4442-B603-BB59F5A7371C}"/>
            </c:ext>
          </c:extLst>
        </c:ser>
        <c:ser>
          <c:idx val="9"/>
          <c:order val="9"/>
          <c:tx>
            <c:strRef>
              <c:f>'Visualization Data'!$T$59:$T$60</c:f>
              <c:strCache>
                <c:ptCount val="1"/>
                <c:pt idx="0">
                  <c:v>Product 4</c:v>
                </c:pt>
              </c:strCache>
            </c:strRef>
          </c:tx>
          <c:spPr>
            <a:solidFill>
              <a:schemeClr val="accent4">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Data'!$T$61:$T$71</c:f>
              <c:numCache>
                <c:formatCode>General</c:formatCode>
                <c:ptCount val="10"/>
                <c:pt idx="0">
                  <c:v>52580.4</c:v>
                </c:pt>
                <c:pt idx="1">
                  <c:v>49425.576000000001</c:v>
                </c:pt>
                <c:pt idx="2">
                  <c:v>46460.041440000001</c:v>
                </c:pt>
                <c:pt idx="3">
                  <c:v>42278.637710399998</c:v>
                </c:pt>
                <c:pt idx="5">
                  <c:v>36165.146697476157</c:v>
                </c:pt>
                <c:pt idx="6">
                  <c:v>33271.934961678067</c:v>
                </c:pt>
                <c:pt idx="7">
                  <c:v>30610.180164743822</c:v>
                </c:pt>
                <c:pt idx="8">
                  <c:v>27243.060346622002</c:v>
                </c:pt>
                <c:pt idx="9">
                  <c:v>25063.615518892242</c:v>
                </c:pt>
              </c:numCache>
            </c:numRef>
          </c:val>
          <c:extLst>
            <c:ext xmlns:c16="http://schemas.microsoft.com/office/drawing/2014/chart" uri="{C3380CC4-5D6E-409C-BE32-E72D297353CC}">
              <c16:uniqueId val="{00000009-4FD6-4442-B603-BB59F5A7371C}"/>
            </c:ext>
          </c:extLst>
        </c:ser>
        <c:ser>
          <c:idx val="10"/>
          <c:order val="10"/>
          <c:tx>
            <c:strRef>
              <c:f>'Visualization Data'!$U$59:$U$60</c:f>
              <c:strCache>
                <c:ptCount val="1"/>
                <c:pt idx="0">
                  <c:v>Product 5</c:v>
                </c:pt>
              </c:strCache>
            </c:strRef>
          </c:tx>
          <c:spPr>
            <a:solidFill>
              <a:schemeClr val="accent5">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Data'!$U$61:$U$71</c:f>
              <c:numCache>
                <c:formatCode>General</c:formatCode>
                <c:ptCount val="10"/>
                <c:pt idx="0">
                  <c:v>26481.600000000002</c:v>
                </c:pt>
                <c:pt idx="1">
                  <c:v>31368.25</c:v>
                </c:pt>
                <c:pt idx="3">
                  <c:v>25695.600000000002</c:v>
                </c:pt>
                <c:pt idx="4">
                  <c:v>30935.5</c:v>
                </c:pt>
                <c:pt idx="5">
                  <c:v>43155</c:v>
                </c:pt>
                <c:pt idx="7">
                  <c:v>31780</c:v>
                </c:pt>
                <c:pt idx="8">
                  <c:v>34568.5</c:v>
                </c:pt>
                <c:pt idx="9">
                  <c:v>43930.666666666664</c:v>
                </c:pt>
              </c:numCache>
            </c:numRef>
          </c:val>
          <c:extLst>
            <c:ext xmlns:c16="http://schemas.microsoft.com/office/drawing/2014/chart" uri="{C3380CC4-5D6E-409C-BE32-E72D297353CC}">
              <c16:uniqueId val="{0000000A-4FD6-4442-B603-BB59F5A7371C}"/>
            </c:ext>
          </c:extLst>
        </c:ser>
        <c:ser>
          <c:idx val="11"/>
          <c:order val="11"/>
          <c:tx>
            <c:strRef>
              <c:f>'Visualization Data'!$V$59:$V$60</c:f>
              <c:strCache>
                <c:ptCount val="1"/>
                <c:pt idx="0">
                  <c:v>Product 5    </c:v>
                </c:pt>
              </c:strCache>
            </c:strRef>
          </c:tx>
          <c:spPr>
            <a:solidFill>
              <a:schemeClr val="accent6">
                <a:lumMod val="60000"/>
              </a:schemeClr>
            </a:solidFill>
            <a:ln>
              <a:noFill/>
            </a:ln>
            <a:effectLst/>
          </c:spPr>
          <c:cat>
            <c:strRef>
              <c:f>'Visualization Data'!$J$61:$J$71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Data'!$V$61:$V$71</c:f>
              <c:numCache>
                <c:formatCode>General</c:formatCode>
                <c:ptCount val="10"/>
                <c:pt idx="2">
                  <c:v>44765.333333333328</c:v>
                </c:pt>
              </c:numCache>
            </c:numRef>
          </c:val>
          <c:extLst>
            <c:ext xmlns:c16="http://schemas.microsoft.com/office/drawing/2014/chart" uri="{C3380CC4-5D6E-409C-BE32-E72D297353CC}">
              <c16:uniqueId val="{0000000B-4FD6-4442-B603-BB59F5A7371C}"/>
            </c:ext>
          </c:extLst>
        </c:ser>
        <c:dLbls>
          <c:showLegendKey val="0"/>
          <c:showVal val="0"/>
          <c:showCatName val="0"/>
          <c:showSerName val="0"/>
          <c:showPercent val="0"/>
          <c:showBubbleSize val="0"/>
        </c:dLbls>
        <c:axId val="1508397664"/>
        <c:axId val="1508398144"/>
      </c:areaChart>
      <c:catAx>
        <c:axId val="1508397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98144"/>
        <c:crosses val="autoZero"/>
        <c:auto val="1"/>
        <c:lblAlgn val="ctr"/>
        <c:lblOffset val="100"/>
        <c:noMultiLvlLbl val="0"/>
      </c:catAx>
      <c:valAx>
        <c:axId val="150839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976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[Midterm_pranav.xlsx]Visualization Data!PivotTable9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'Visualization Data'!$K$83:$K$84</c:f>
              <c:strCache>
                <c:ptCount val="1"/>
                <c:pt idx="0">
                  <c:v>   Product 4</c:v>
                </c:pt>
              </c:strCache>
            </c:strRef>
          </c:tx>
          <c:spPr>
            <a:solidFill>
              <a:schemeClr val="accent1"/>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Data'!$K$85:$K$95</c:f>
              <c:numCache>
                <c:formatCode>General</c:formatCode>
                <c:ptCount val="10"/>
                <c:pt idx="4">
                  <c:v>0.14043802499999997</c:v>
                </c:pt>
              </c:numCache>
            </c:numRef>
          </c:val>
          <c:extLst>
            <c:ext xmlns:c16="http://schemas.microsoft.com/office/drawing/2014/chart" uri="{C3380CC4-5D6E-409C-BE32-E72D297353CC}">
              <c16:uniqueId val="{00000000-AC0C-4943-89C0-D6D8BACE6CA2}"/>
            </c:ext>
          </c:extLst>
        </c:ser>
        <c:ser>
          <c:idx val="1"/>
          <c:order val="1"/>
          <c:tx>
            <c:strRef>
              <c:f>'Visualization Data'!$L$83:$L$84</c:f>
              <c:strCache>
                <c:ptCount val="1"/>
                <c:pt idx="0">
                  <c:v>  Product 1</c:v>
                </c:pt>
              </c:strCache>
            </c:strRef>
          </c:tx>
          <c:spPr>
            <a:solidFill>
              <a:schemeClr val="accent2"/>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Data'!$L$85:$L$95</c:f>
              <c:numCache>
                <c:formatCode>General</c:formatCode>
                <c:ptCount val="10"/>
                <c:pt idx="4">
                  <c:v>16</c:v>
                </c:pt>
              </c:numCache>
            </c:numRef>
          </c:val>
          <c:extLst>
            <c:ext xmlns:c16="http://schemas.microsoft.com/office/drawing/2014/chart" uri="{C3380CC4-5D6E-409C-BE32-E72D297353CC}">
              <c16:uniqueId val="{00000001-AC0C-4943-89C0-D6D8BACE6CA2}"/>
            </c:ext>
          </c:extLst>
        </c:ser>
        <c:ser>
          <c:idx val="2"/>
          <c:order val="2"/>
          <c:tx>
            <c:strRef>
              <c:f>'Visualization Data'!$M$83:$M$84</c:f>
              <c:strCache>
                <c:ptCount val="1"/>
                <c:pt idx="0">
                  <c:v>  Product 2</c:v>
                </c:pt>
              </c:strCache>
            </c:strRef>
          </c:tx>
          <c:spPr>
            <a:solidFill>
              <a:schemeClr val="accent3"/>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Data'!$M$85:$M$95</c:f>
              <c:numCache>
                <c:formatCode>General</c:formatCode>
                <c:ptCount val="10"/>
                <c:pt idx="5">
                  <c:v>0.04</c:v>
                </c:pt>
              </c:numCache>
            </c:numRef>
          </c:val>
          <c:extLst>
            <c:ext xmlns:c16="http://schemas.microsoft.com/office/drawing/2014/chart" uri="{C3380CC4-5D6E-409C-BE32-E72D297353CC}">
              <c16:uniqueId val="{00000002-AC0C-4943-89C0-D6D8BACE6CA2}"/>
            </c:ext>
          </c:extLst>
        </c:ser>
        <c:ser>
          <c:idx val="3"/>
          <c:order val="3"/>
          <c:tx>
            <c:strRef>
              <c:f>'Visualization Data'!$N$83:$N$84</c:f>
              <c:strCache>
                <c:ptCount val="1"/>
                <c:pt idx="0">
                  <c:v>  Product 5</c:v>
                </c:pt>
              </c:strCache>
            </c:strRef>
          </c:tx>
          <c:spPr>
            <a:solidFill>
              <a:schemeClr val="accent4"/>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Data'!$N$85:$N$95</c:f>
              <c:numCache>
                <c:formatCode>General</c:formatCode>
                <c:ptCount val="10"/>
                <c:pt idx="6">
                  <c:v>0.1138</c:v>
                </c:pt>
              </c:numCache>
            </c:numRef>
          </c:val>
          <c:extLst>
            <c:ext xmlns:c16="http://schemas.microsoft.com/office/drawing/2014/chart" uri="{C3380CC4-5D6E-409C-BE32-E72D297353CC}">
              <c16:uniqueId val="{00000003-AC0C-4943-89C0-D6D8BACE6CA2}"/>
            </c:ext>
          </c:extLst>
        </c:ser>
        <c:ser>
          <c:idx val="4"/>
          <c:order val="4"/>
          <c:tx>
            <c:strRef>
              <c:f>'Visualization Data'!$O$83:$O$84</c:f>
              <c:strCache>
                <c:ptCount val="1"/>
                <c:pt idx="0">
                  <c:v>Product 1</c:v>
                </c:pt>
              </c:strCache>
            </c:strRef>
          </c:tx>
          <c:spPr>
            <a:solidFill>
              <a:schemeClr val="accent5"/>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Data'!$O$85:$O$95</c:f>
              <c:numCache>
                <c:formatCode>General</c:formatCode>
                <c:ptCount val="10"/>
                <c:pt idx="0">
                  <c:v>0.02</c:v>
                </c:pt>
                <c:pt idx="1">
                  <c:v>0.04</c:v>
                </c:pt>
                <c:pt idx="2">
                  <c:v>7.0000000000000007E-2</c:v>
                </c:pt>
                <c:pt idx="3">
                  <c:v>0.13</c:v>
                </c:pt>
                <c:pt idx="5">
                  <c:v>0.18</c:v>
                </c:pt>
                <c:pt idx="6">
                  <c:v>0.19</c:v>
                </c:pt>
                <c:pt idx="7">
                  <c:v>0.17</c:v>
                </c:pt>
                <c:pt idx="8">
                  <c:v>0.2</c:v>
                </c:pt>
                <c:pt idx="9">
                  <c:v>0.19</c:v>
                </c:pt>
              </c:numCache>
            </c:numRef>
          </c:val>
          <c:extLst>
            <c:ext xmlns:c16="http://schemas.microsoft.com/office/drawing/2014/chart" uri="{C3380CC4-5D6E-409C-BE32-E72D297353CC}">
              <c16:uniqueId val="{00000004-AC0C-4943-89C0-D6D8BACE6CA2}"/>
            </c:ext>
          </c:extLst>
        </c:ser>
        <c:ser>
          <c:idx val="5"/>
          <c:order val="5"/>
          <c:tx>
            <c:strRef>
              <c:f>'Visualization Data'!$P$83:$P$84</c:f>
              <c:strCache>
                <c:ptCount val="1"/>
                <c:pt idx="0">
                  <c:v>Product 2</c:v>
                </c:pt>
              </c:strCache>
            </c:strRef>
          </c:tx>
          <c:spPr>
            <a:solidFill>
              <a:schemeClr val="accent6"/>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Data'!$P$85:$P$95</c:f>
              <c:numCache>
                <c:formatCode>General</c:formatCode>
                <c:ptCount val="10"/>
                <c:pt idx="0">
                  <c:v>0.05</c:v>
                </c:pt>
                <c:pt idx="1">
                  <c:v>7.0000000000000007E-2</c:v>
                </c:pt>
                <c:pt idx="3">
                  <c:v>0.06</c:v>
                </c:pt>
                <c:pt idx="4">
                  <c:v>0.06</c:v>
                </c:pt>
                <c:pt idx="6">
                  <c:v>0.05</c:v>
                </c:pt>
                <c:pt idx="7">
                  <c:v>0.05</c:v>
                </c:pt>
                <c:pt idx="8">
                  <c:v>0.06</c:v>
                </c:pt>
                <c:pt idx="9">
                  <c:v>0.04</c:v>
                </c:pt>
              </c:numCache>
            </c:numRef>
          </c:val>
          <c:extLst>
            <c:ext xmlns:c16="http://schemas.microsoft.com/office/drawing/2014/chart" uri="{C3380CC4-5D6E-409C-BE32-E72D297353CC}">
              <c16:uniqueId val="{00000005-AC0C-4943-89C0-D6D8BACE6CA2}"/>
            </c:ext>
          </c:extLst>
        </c:ser>
        <c:ser>
          <c:idx val="6"/>
          <c:order val="6"/>
          <c:tx>
            <c:strRef>
              <c:f>'Visualization Data'!$Q$83:$Q$84</c:f>
              <c:strCache>
                <c:ptCount val="1"/>
                <c:pt idx="0">
                  <c:v>Product 2    </c:v>
                </c:pt>
              </c:strCache>
            </c:strRef>
          </c:tx>
          <c:spPr>
            <a:solidFill>
              <a:schemeClr val="accent1">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Data'!$Q$85:$Q$95</c:f>
              <c:numCache>
                <c:formatCode>General</c:formatCode>
                <c:ptCount val="10"/>
                <c:pt idx="2">
                  <c:v>0.04</c:v>
                </c:pt>
              </c:numCache>
            </c:numRef>
          </c:val>
          <c:extLst>
            <c:ext xmlns:c16="http://schemas.microsoft.com/office/drawing/2014/chart" uri="{C3380CC4-5D6E-409C-BE32-E72D297353CC}">
              <c16:uniqueId val="{00000006-AC0C-4943-89C0-D6D8BACE6CA2}"/>
            </c:ext>
          </c:extLst>
        </c:ser>
        <c:ser>
          <c:idx val="7"/>
          <c:order val="7"/>
          <c:tx>
            <c:strRef>
              <c:f>'Visualization Data'!$R$83:$R$84</c:f>
              <c:strCache>
                <c:ptCount val="1"/>
                <c:pt idx="0">
                  <c:v>Product 3</c:v>
                </c:pt>
              </c:strCache>
            </c:strRef>
          </c:tx>
          <c:spPr>
            <a:solidFill>
              <a:schemeClr val="accent2">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Data'!$R$85:$R$95</c:f>
              <c:numCache>
                <c:formatCode>General</c:formatCode>
                <c:ptCount val="10"/>
                <c:pt idx="0">
                  <c:v>0.13</c:v>
                </c:pt>
                <c:pt idx="1">
                  <c:v>0.13</c:v>
                </c:pt>
                <c:pt idx="2">
                  <c:v>0.13</c:v>
                </c:pt>
                <c:pt idx="3">
                  <c:v>0.14000000000000001</c:v>
                </c:pt>
                <c:pt idx="4">
                  <c:v>0.12</c:v>
                </c:pt>
                <c:pt idx="6">
                  <c:v>0.13</c:v>
                </c:pt>
                <c:pt idx="7">
                  <c:v>10</c:v>
                </c:pt>
                <c:pt idx="8">
                  <c:v>0.14000000000000001</c:v>
                </c:pt>
                <c:pt idx="9">
                  <c:v>0.13</c:v>
                </c:pt>
              </c:numCache>
            </c:numRef>
          </c:val>
          <c:extLst>
            <c:ext xmlns:c16="http://schemas.microsoft.com/office/drawing/2014/chart" uri="{C3380CC4-5D6E-409C-BE32-E72D297353CC}">
              <c16:uniqueId val="{00000007-AC0C-4943-89C0-D6D8BACE6CA2}"/>
            </c:ext>
          </c:extLst>
        </c:ser>
        <c:ser>
          <c:idx val="8"/>
          <c:order val="8"/>
          <c:tx>
            <c:strRef>
              <c:f>'Visualization Data'!$S$83:$S$84</c:f>
              <c:strCache>
                <c:ptCount val="1"/>
                <c:pt idx="0">
                  <c:v>Product 3   </c:v>
                </c:pt>
              </c:strCache>
            </c:strRef>
          </c:tx>
          <c:spPr>
            <a:solidFill>
              <a:schemeClr val="accent3">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Data'!$S$85:$S$95</c:f>
              <c:numCache>
                <c:formatCode>General</c:formatCode>
                <c:ptCount val="10"/>
                <c:pt idx="5">
                  <c:v>0.14000000000000001</c:v>
                </c:pt>
              </c:numCache>
            </c:numRef>
          </c:val>
          <c:extLst>
            <c:ext xmlns:c16="http://schemas.microsoft.com/office/drawing/2014/chart" uri="{C3380CC4-5D6E-409C-BE32-E72D297353CC}">
              <c16:uniqueId val="{00000008-AC0C-4943-89C0-D6D8BACE6CA2}"/>
            </c:ext>
          </c:extLst>
        </c:ser>
        <c:ser>
          <c:idx val="9"/>
          <c:order val="9"/>
          <c:tx>
            <c:strRef>
              <c:f>'Visualization Data'!$T$83:$T$84</c:f>
              <c:strCache>
                <c:ptCount val="1"/>
                <c:pt idx="0">
                  <c:v>Product 4</c:v>
                </c:pt>
              </c:strCache>
            </c:strRef>
          </c:tx>
          <c:spPr>
            <a:solidFill>
              <a:schemeClr val="accent4">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Data'!$T$85:$T$95</c:f>
              <c:numCache>
                <c:formatCode>General</c:formatCode>
                <c:ptCount val="10"/>
                <c:pt idx="0">
                  <c:v>0.18</c:v>
                </c:pt>
                <c:pt idx="1">
                  <c:v>0.17099999999999999</c:v>
                </c:pt>
                <c:pt idx="2">
                  <c:v>0.16244999999999998</c:v>
                </c:pt>
                <c:pt idx="3">
                  <c:v>0.15432749999999998</c:v>
                </c:pt>
                <c:pt idx="5">
                  <c:v>0.12920298299999997</c:v>
                </c:pt>
                <c:pt idx="6">
                  <c:v>0.11499065486999997</c:v>
                </c:pt>
                <c:pt idx="7">
                  <c:v>0.10349158938299997</c:v>
                </c:pt>
                <c:pt idx="8">
                  <c:v>9.2107514550869976E-2</c:v>
                </c:pt>
                <c:pt idx="9">
                  <c:v>8.1975687950274281E-2</c:v>
                </c:pt>
              </c:numCache>
            </c:numRef>
          </c:val>
          <c:extLst>
            <c:ext xmlns:c16="http://schemas.microsoft.com/office/drawing/2014/chart" uri="{C3380CC4-5D6E-409C-BE32-E72D297353CC}">
              <c16:uniqueId val="{00000009-AC0C-4943-89C0-D6D8BACE6CA2}"/>
            </c:ext>
          </c:extLst>
        </c:ser>
        <c:ser>
          <c:idx val="10"/>
          <c:order val="10"/>
          <c:tx>
            <c:strRef>
              <c:f>'Visualization Data'!$U$83:$U$84</c:f>
              <c:strCache>
                <c:ptCount val="1"/>
                <c:pt idx="0">
                  <c:v>Product 5</c:v>
                </c:pt>
              </c:strCache>
            </c:strRef>
          </c:tx>
          <c:spPr>
            <a:solidFill>
              <a:schemeClr val="accent5">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Data'!$U$85:$U$95</c:f>
              <c:numCache>
                <c:formatCode>General</c:formatCode>
                <c:ptCount val="10"/>
                <c:pt idx="0">
                  <c:v>0.11</c:v>
                </c:pt>
                <c:pt idx="1">
                  <c:v>0.09</c:v>
                </c:pt>
                <c:pt idx="3">
                  <c:v>0.1</c:v>
                </c:pt>
                <c:pt idx="4">
                  <c:v>7</c:v>
                </c:pt>
                <c:pt idx="5">
                  <c:v>0.1045</c:v>
                </c:pt>
                <c:pt idx="7">
                  <c:v>9.7600000000000006E-2</c:v>
                </c:pt>
                <c:pt idx="8">
                  <c:v>0.14000000000000001</c:v>
                </c:pt>
                <c:pt idx="9">
                  <c:v>0.1089</c:v>
                </c:pt>
              </c:numCache>
            </c:numRef>
          </c:val>
          <c:extLst>
            <c:ext xmlns:c16="http://schemas.microsoft.com/office/drawing/2014/chart" uri="{C3380CC4-5D6E-409C-BE32-E72D297353CC}">
              <c16:uniqueId val="{0000000A-AC0C-4943-89C0-D6D8BACE6CA2}"/>
            </c:ext>
          </c:extLst>
        </c:ser>
        <c:ser>
          <c:idx val="11"/>
          <c:order val="11"/>
          <c:tx>
            <c:strRef>
              <c:f>'Visualization Data'!$V$83:$V$84</c:f>
              <c:strCache>
                <c:ptCount val="1"/>
                <c:pt idx="0">
                  <c:v>Product 5    </c:v>
                </c:pt>
              </c:strCache>
            </c:strRef>
          </c:tx>
          <c:spPr>
            <a:solidFill>
              <a:schemeClr val="accent6">
                <a:lumMod val="60000"/>
              </a:schemeClr>
            </a:solidFill>
            <a:ln>
              <a:noFill/>
            </a:ln>
            <a:effectLst/>
          </c:spPr>
          <c:cat>
            <c:strRef>
              <c:f>'Visualization Data'!$J$85:$J$95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'Visualization Data'!$V$85:$V$95</c:f>
              <c:numCache>
                <c:formatCode>General</c:formatCode>
                <c:ptCount val="10"/>
                <c:pt idx="2">
                  <c:v>0.12</c:v>
                </c:pt>
              </c:numCache>
            </c:numRef>
          </c:val>
          <c:extLst>
            <c:ext xmlns:c16="http://schemas.microsoft.com/office/drawing/2014/chart" uri="{C3380CC4-5D6E-409C-BE32-E72D297353CC}">
              <c16:uniqueId val="{0000000B-AC0C-4943-89C0-D6D8BACE6CA2}"/>
            </c:ext>
          </c:extLst>
        </c:ser>
        <c:dLbls>
          <c:showLegendKey val="0"/>
          <c:showVal val="0"/>
          <c:showCatName val="0"/>
          <c:showSerName val="0"/>
          <c:showPercent val="0"/>
          <c:showBubbleSize val="0"/>
        </c:dLbls>
        <c:axId val="1513413680"/>
        <c:axId val="1513423760"/>
      </c:areaChart>
      <c:catAx>
        <c:axId val="1513413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23760"/>
        <c:crosses val="autoZero"/>
        <c:auto val="1"/>
        <c:lblAlgn val="ctr"/>
        <c:lblOffset val="100"/>
        <c:noMultiLvlLbl val="0"/>
      </c:catAx>
      <c:valAx>
        <c:axId val="151342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136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[Midterm_pranav.xlsx]Visualization Data!PivotTable13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 Data'!$K$117</c:f>
              <c:strCache>
                <c:ptCount val="1"/>
                <c:pt idx="0">
                  <c:v>Total</c:v>
                </c:pt>
              </c:strCache>
            </c:strRef>
          </c:tx>
          <c:spPr>
            <a:solidFill>
              <a:schemeClr val="accent1"/>
            </a:solidFill>
            <a:ln>
              <a:noFill/>
            </a:ln>
            <a:effectLst/>
          </c:spPr>
          <c:invertIfNegative val="0"/>
          <c:cat>
            <c:strRef>
              <c:f>'Visualization Data'!$J$118:$J$130</c:f>
              <c:strCache>
                <c:ptCount val="12"/>
                <c:pt idx="0">
                  <c:v>   Product 4</c:v>
                </c:pt>
                <c:pt idx="1">
                  <c:v>  Product 1</c:v>
                </c:pt>
                <c:pt idx="2">
                  <c:v>  Product 2</c:v>
                </c:pt>
                <c:pt idx="3">
                  <c:v>  Product 5</c:v>
                </c:pt>
                <c:pt idx="4">
                  <c:v>Product 1</c:v>
                </c:pt>
                <c:pt idx="5">
                  <c:v>Product 2</c:v>
                </c:pt>
                <c:pt idx="6">
                  <c:v>Product 2    </c:v>
                </c:pt>
                <c:pt idx="7">
                  <c:v>Product 3</c:v>
                </c:pt>
                <c:pt idx="8">
                  <c:v>Product 3   </c:v>
                </c:pt>
                <c:pt idx="9">
                  <c:v>Product 4</c:v>
                </c:pt>
                <c:pt idx="10">
                  <c:v>Product 5</c:v>
                </c:pt>
                <c:pt idx="11">
                  <c:v>Product 5    </c:v>
                </c:pt>
              </c:strCache>
            </c:strRef>
          </c:cat>
          <c:val>
            <c:numRef>
              <c:f>'Visualization Data'!$K$118:$K$130</c:f>
              <c:numCache>
                <c:formatCode>General</c:formatCode>
                <c:ptCount val="12"/>
                <c:pt idx="0">
                  <c:v>0.12260869565217392</c:v>
                </c:pt>
                <c:pt idx="1">
                  <c:v>0.10329317269076305</c:v>
                </c:pt>
                <c:pt idx="2">
                  <c:v>0.24678474549226104</c:v>
                </c:pt>
                <c:pt idx="3">
                  <c:v>0.25</c:v>
                </c:pt>
                <c:pt idx="4">
                  <c:v>-0.15337596618786214</c:v>
                </c:pt>
                <c:pt idx="5">
                  <c:v>0.27411060564411516</c:v>
                </c:pt>
                <c:pt idx="6">
                  <c:v>0.27321357637816129</c:v>
                </c:pt>
                <c:pt idx="7">
                  <c:v>#N/A</c:v>
                </c:pt>
                <c:pt idx="8">
                  <c:v>5.0129611791148804E-2</c:v>
                </c:pt>
                <c:pt idx="9">
                  <c:v>0.12108849673986846</c:v>
                </c:pt>
                <c:pt idx="10">
                  <c:v>0.25833333333333336</c:v>
                </c:pt>
                <c:pt idx="11">
                  <c:v>0.33333333333333331</c:v>
                </c:pt>
              </c:numCache>
            </c:numRef>
          </c:val>
          <c:extLst>
            <c:ext xmlns:c16="http://schemas.microsoft.com/office/drawing/2014/chart" uri="{C3380CC4-5D6E-409C-BE32-E72D297353CC}">
              <c16:uniqueId val="{00000000-7E5E-445D-97AA-4A57A5543608}"/>
            </c:ext>
          </c:extLst>
        </c:ser>
        <c:dLbls>
          <c:showLegendKey val="0"/>
          <c:showVal val="0"/>
          <c:showCatName val="0"/>
          <c:showSerName val="0"/>
          <c:showPercent val="0"/>
          <c:showBubbleSize val="0"/>
        </c:dLbls>
        <c:gapWidth val="182"/>
        <c:axId val="2130313424"/>
        <c:axId val="2130311024"/>
      </c:barChart>
      <c:catAx>
        <c:axId val="213031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11024"/>
        <c:crosses val="autoZero"/>
        <c:auto val="1"/>
        <c:lblAlgn val="ctr"/>
        <c:lblOffset val="100"/>
        <c:noMultiLvlLbl val="0"/>
      </c:catAx>
      <c:valAx>
        <c:axId val="2130311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1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[Midterm_pranav.xlsx]Dashboard!PivotTable12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Dashboard!$F$1</c:f>
              <c:strCache>
                <c:ptCount val="1"/>
                <c:pt idx="0">
                  <c:v>Sum of Annual Revenue</c:v>
                </c:pt>
              </c:strCache>
            </c:strRef>
          </c:tx>
          <c:spPr>
            <a:ln w="28575" cap="rnd">
              <a:solidFill>
                <a:schemeClr val="accent1"/>
              </a:solidFill>
              <a:round/>
            </a:ln>
            <a:effectLst/>
          </c:spPr>
          <c:marker>
            <c:symbol val="none"/>
          </c:marker>
          <c:cat>
            <c:strRef>
              <c:f>Dashboard!$E$2:$E$14</c:f>
              <c:strCache>
                <c:ptCount val="12"/>
                <c:pt idx="0">
                  <c:v>   Product 4</c:v>
                </c:pt>
                <c:pt idx="1">
                  <c:v>  Product 1</c:v>
                </c:pt>
                <c:pt idx="2">
                  <c:v>  Product 2</c:v>
                </c:pt>
                <c:pt idx="3">
                  <c:v>  Product 5</c:v>
                </c:pt>
                <c:pt idx="4">
                  <c:v>Product 1</c:v>
                </c:pt>
                <c:pt idx="5">
                  <c:v>Product 2</c:v>
                </c:pt>
                <c:pt idx="6">
                  <c:v>Product 2    </c:v>
                </c:pt>
                <c:pt idx="7">
                  <c:v>Product 3</c:v>
                </c:pt>
                <c:pt idx="8">
                  <c:v>Product 3   </c:v>
                </c:pt>
                <c:pt idx="9">
                  <c:v>Product 4</c:v>
                </c:pt>
                <c:pt idx="10">
                  <c:v>Product 5</c:v>
                </c:pt>
                <c:pt idx="11">
                  <c:v>Product 5    </c:v>
                </c:pt>
              </c:strCache>
            </c:strRef>
          </c:cat>
          <c:val>
            <c:numRef>
              <c:f>Dashboard!$F$2:$F$14</c:f>
              <c:numCache>
                <c:formatCode>General</c:formatCode>
                <c:ptCount val="12"/>
                <c:pt idx="0">
                  <c:v>324136.22244639997</c:v>
                </c:pt>
                <c:pt idx="1">
                  <c:v>199200</c:v>
                </c:pt>
                <c:pt idx="2">
                  <c:v>250680</c:v>
                </c:pt>
                <c:pt idx="3">
                  <c:v>130720</c:v>
                </c:pt>
                <c:pt idx="4">
                  <c:v>2435610</c:v>
                </c:pt>
                <c:pt idx="5">
                  <c:v>1797809</c:v>
                </c:pt>
                <c:pt idx="6">
                  <c:v>226570</c:v>
                </c:pt>
                <c:pt idx="7">
                  <c:v>1233129</c:v>
                </c:pt>
                <c:pt idx="8">
                  <c:v>127689</c:v>
                </c:pt>
                <c:pt idx="9">
                  <c:v>2842639.3336751349</c:v>
                </c:pt>
                <c:pt idx="10">
                  <c:v>1036752</c:v>
                </c:pt>
                <c:pt idx="11">
                  <c:v>134296</c:v>
                </c:pt>
              </c:numCache>
            </c:numRef>
          </c:val>
          <c:smooth val="0"/>
          <c:extLst>
            <c:ext xmlns:c16="http://schemas.microsoft.com/office/drawing/2014/chart" uri="{C3380CC4-5D6E-409C-BE32-E72D297353CC}">
              <c16:uniqueId val="{00000000-3BEC-4067-AA13-2D026B0295B8}"/>
            </c:ext>
          </c:extLst>
        </c:ser>
        <c:ser>
          <c:idx val="1"/>
          <c:order val="1"/>
          <c:tx>
            <c:strRef>
              <c:f>Dashboard!$G$1</c:f>
              <c:strCache>
                <c:ptCount val="1"/>
                <c:pt idx="0">
                  <c:v>Sum of Annual Profit</c:v>
                </c:pt>
              </c:strCache>
            </c:strRef>
          </c:tx>
          <c:spPr>
            <a:ln w="28575" cap="rnd">
              <a:solidFill>
                <a:schemeClr val="accent2"/>
              </a:solidFill>
              <a:round/>
            </a:ln>
            <a:effectLst/>
          </c:spPr>
          <c:marker>
            <c:symbol val="none"/>
          </c:marker>
          <c:cat>
            <c:strRef>
              <c:f>Dashboard!$E$2:$E$14</c:f>
              <c:strCache>
                <c:ptCount val="12"/>
                <c:pt idx="0">
                  <c:v>   Product 4</c:v>
                </c:pt>
                <c:pt idx="1">
                  <c:v>  Product 1</c:v>
                </c:pt>
                <c:pt idx="2">
                  <c:v>  Product 2</c:v>
                </c:pt>
                <c:pt idx="3">
                  <c:v>  Product 5</c:v>
                </c:pt>
                <c:pt idx="4">
                  <c:v>Product 1</c:v>
                </c:pt>
                <c:pt idx="5">
                  <c:v>Product 2</c:v>
                </c:pt>
                <c:pt idx="6">
                  <c:v>Product 2    </c:v>
                </c:pt>
                <c:pt idx="7">
                  <c:v>Product 3</c:v>
                </c:pt>
                <c:pt idx="8">
                  <c:v>Product 3   </c:v>
                </c:pt>
                <c:pt idx="9">
                  <c:v>Product 4</c:v>
                </c:pt>
                <c:pt idx="10">
                  <c:v>Product 5</c:v>
                </c:pt>
                <c:pt idx="11">
                  <c:v>Product 5    </c:v>
                </c:pt>
              </c:strCache>
            </c:strRef>
          </c:cat>
          <c:val>
            <c:numRef>
              <c:f>Dashboard!$G$2:$G$14</c:f>
              <c:numCache>
                <c:formatCode>General</c:formatCode>
                <c:ptCount val="12"/>
                <c:pt idx="0">
                  <c:v>39741.919447775996</c:v>
                </c:pt>
                <c:pt idx="1">
                  <c:v>20576</c:v>
                </c:pt>
                <c:pt idx="2">
                  <c:v>61864</c:v>
                </c:pt>
                <c:pt idx="3">
                  <c:v>32680</c:v>
                </c:pt>
                <c:pt idx="4">
                  <c:v>365513</c:v>
                </c:pt>
                <c:pt idx="5">
                  <c:v>491418</c:v>
                </c:pt>
                <c:pt idx="6">
                  <c:v>61902</c:v>
                </c:pt>
                <c:pt idx="7">
                  <c:v>-95676</c:v>
                </c:pt>
                <c:pt idx="8">
                  <c:v>6401</c:v>
                </c:pt>
                <c:pt idx="9">
                  <c:v>343098.59283981228</c:v>
                </c:pt>
                <c:pt idx="10">
                  <c:v>267915.1166666667</c:v>
                </c:pt>
                <c:pt idx="11">
                  <c:v>44765.333333333328</c:v>
                </c:pt>
              </c:numCache>
            </c:numRef>
          </c:val>
          <c:smooth val="0"/>
          <c:extLst>
            <c:ext xmlns:c16="http://schemas.microsoft.com/office/drawing/2014/chart" uri="{C3380CC4-5D6E-409C-BE32-E72D297353CC}">
              <c16:uniqueId val="{00000001-3BEC-4067-AA13-2D026B0295B8}"/>
            </c:ext>
          </c:extLst>
        </c:ser>
        <c:ser>
          <c:idx val="2"/>
          <c:order val="2"/>
          <c:tx>
            <c:strRef>
              <c:f>Dashboard!$H$1</c:f>
              <c:strCache>
                <c:ptCount val="1"/>
                <c:pt idx="0">
                  <c:v>Average of Segment Market Share</c:v>
                </c:pt>
              </c:strCache>
            </c:strRef>
          </c:tx>
          <c:spPr>
            <a:ln w="28575" cap="rnd">
              <a:solidFill>
                <a:schemeClr val="accent3"/>
              </a:solidFill>
              <a:round/>
            </a:ln>
            <a:effectLst/>
          </c:spPr>
          <c:marker>
            <c:symbol val="none"/>
          </c:marker>
          <c:cat>
            <c:strRef>
              <c:f>Dashboard!$E$2:$E$14</c:f>
              <c:strCache>
                <c:ptCount val="12"/>
                <c:pt idx="0">
                  <c:v>   Product 4</c:v>
                </c:pt>
                <c:pt idx="1">
                  <c:v>  Product 1</c:v>
                </c:pt>
                <c:pt idx="2">
                  <c:v>  Product 2</c:v>
                </c:pt>
                <c:pt idx="3">
                  <c:v>  Product 5</c:v>
                </c:pt>
                <c:pt idx="4">
                  <c:v>Product 1</c:v>
                </c:pt>
                <c:pt idx="5">
                  <c:v>Product 2</c:v>
                </c:pt>
                <c:pt idx="6">
                  <c:v>Product 2    </c:v>
                </c:pt>
                <c:pt idx="7">
                  <c:v>Product 3</c:v>
                </c:pt>
                <c:pt idx="8">
                  <c:v>Product 3   </c:v>
                </c:pt>
                <c:pt idx="9">
                  <c:v>Product 4</c:v>
                </c:pt>
                <c:pt idx="10">
                  <c:v>Product 5</c:v>
                </c:pt>
                <c:pt idx="11">
                  <c:v>Product 5    </c:v>
                </c:pt>
              </c:strCache>
            </c:strRef>
          </c:cat>
          <c:val>
            <c:numRef>
              <c:f>Dashboard!$H$2:$H$14</c:f>
              <c:numCache>
                <c:formatCode>General</c:formatCode>
                <c:ptCount val="12"/>
                <c:pt idx="0">
                  <c:v>0.14043802499999997</c:v>
                </c:pt>
                <c:pt idx="1">
                  <c:v>16</c:v>
                </c:pt>
                <c:pt idx="2">
                  <c:v>0.04</c:v>
                </c:pt>
                <c:pt idx="3">
                  <c:v>0.1138</c:v>
                </c:pt>
                <c:pt idx="4">
                  <c:v>0.13222222222222221</c:v>
                </c:pt>
                <c:pt idx="5">
                  <c:v>5.4999999999999993E-2</c:v>
                </c:pt>
                <c:pt idx="6">
                  <c:v>0.04</c:v>
                </c:pt>
                <c:pt idx="7">
                  <c:v>1.1180000000000001</c:v>
                </c:pt>
                <c:pt idx="8">
                  <c:v>0.14000000000000001</c:v>
                </c:pt>
                <c:pt idx="9">
                  <c:v>0.13217176997268268</c:v>
                </c:pt>
                <c:pt idx="10">
                  <c:v>0.96887499999999993</c:v>
                </c:pt>
                <c:pt idx="11">
                  <c:v>0.12</c:v>
                </c:pt>
              </c:numCache>
            </c:numRef>
          </c:val>
          <c:smooth val="0"/>
          <c:extLst>
            <c:ext xmlns:c16="http://schemas.microsoft.com/office/drawing/2014/chart" uri="{C3380CC4-5D6E-409C-BE32-E72D297353CC}">
              <c16:uniqueId val="{00000002-3BEC-4067-AA13-2D026B0295B8}"/>
            </c:ext>
          </c:extLst>
        </c:ser>
        <c:dLbls>
          <c:showLegendKey val="0"/>
          <c:showVal val="0"/>
          <c:showCatName val="0"/>
          <c:showSerName val="0"/>
          <c:showPercent val="0"/>
          <c:showBubbleSize val="0"/>
        </c:dLbls>
        <c:smooth val="0"/>
        <c:axId val="2130372464"/>
        <c:axId val="2130365264"/>
      </c:lineChart>
      <c:catAx>
        <c:axId val="213037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65264"/>
        <c:crosses val="autoZero"/>
        <c:auto val="1"/>
        <c:lblAlgn val="ctr"/>
        <c:lblOffset val="100"/>
        <c:noMultiLvlLbl val="0"/>
      </c:catAx>
      <c:valAx>
        <c:axId val="213036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7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18</xdr:col>
      <xdr:colOff>84396</xdr:colOff>
      <xdr:row>5</xdr:row>
      <xdr:rowOff>67554</xdr:rowOff>
    </xdr:from>
    <xdr:to>
      <xdr:col>28</xdr:col>
      <xdr:colOff>581190</xdr:colOff>
      <xdr:row>22</xdr:row>
      <xdr:rowOff>62420</xdr:rowOff>
    </xdr:to>
    <xdr:graphicFrame macro="">
      <xdr:nvGraphicFramePr>
        <xdr:cNvPr id="2" name="Chart 1">
          <a:extLst>
            <a:ext uri="{FF2B5EF4-FFF2-40B4-BE49-F238E27FC236}">
              <a16:creationId xmlns:a16="http://schemas.microsoft.com/office/drawing/2014/main" id="{C56AF3EE-2BF6-D192-2A6A-E17B350C6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459706</xdr:colOff>
      <xdr:row>25</xdr:row>
      <xdr:rowOff>47849</xdr:rowOff>
    </xdr:from>
    <xdr:to>
      <xdr:col>28</xdr:col>
      <xdr:colOff>561663</xdr:colOff>
      <xdr:row>40</xdr:row>
      <xdr:rowOff>54289</xdr:rowOff>
    </xdr:to>
    <xdr:graphicFrame macro="">
      <xdr:nvGraphicFramePr>
        <xdr:cNvPr id="4" name="Chart 3">
          <a:extLst>
            <a:ext uri="{FF2B5EF4-FFF2-40B4-BE49-F238E27FC236}">
              <a16:creationId xmlns:a16="http://schemas.microsoft.com/office/drawing/2014/main" id="{990683F9-92A0-01F6-4BFA-555D7A489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562554</xdr:colOff>
      <xdr:row>25</xdr:row>
      <xdr:rowOff>46600</xdr:rowOff>
    </xdr:from>
    <xdr:to>
      <xdr:col>37</xdr:col>
      <xdr:colOff>23189</xdr:colOff>
      <xdr:row>40</xdr:row>
      <xdr:rowOff>51168</xdr:rowOff>
    </xdr:to>
    <xdr:graphicFrame macro="">
      <xdr:nvGraphicFramePr>
        <xdr:cNvPr id="5" name="Chart 4">
          <a:extLst>
            <a:ext uri="{FF2B5EF4-FFF2-40B4-BE49-F238E27FC236}">
              <a16:creationId xmlns:a16="http://schemas.microsoft.com/office/drawing/2014/main" id="{967BC209-D30D-420F-FB7B-2B8064D41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356056</xdr:colOff>
      <xdr:row>9</xdr:row>
      <xdr:rowOff>48663</xdr:rowOff>
    </xdr:from>
    <xdr:to>
      <xdr:col>36</xdr:col>
      <xdr:colOff>461410</xdr:colOff>
      <xdr:row>23</xdr:row>
      <xdr:rowOff>49613</xdr:rowOff>
    </xdr:to>
    <xdr:graphicFrame macro="">
      <xdr:nvGraphicFramePr>
        <xdr:cNvPr id="6" name="Chart 5">
          <a:extLst>
            <a:ext uri="{FF2B5EF4-FFF2-40B4-BE49-F238E27FC236}">
              <a16:creationId xmlns:a16="http://schemas.microsoft.com/office/drawing/2014/main" id="{19E9654C-0BAF-C638-8A40-D20B9E3F5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494316</xdr:colOff>
      <xdr:row>41</xdr:row>
      <xdr:rowOff>77185</xdr:rowOff>
    </xdr:from>
    <xdr:to>
      <xdr:col>28</xdr:col>
      <xdr:colOff>596273</xdr:colOff>
      <xdr:row>56</xdr:row>
      <xdr:rowOff>83625</xdr:rowOff>
    </xdr:to>
    <xdr:graphicFrame macro="">
      <xdr:nvGraphicFramePr>
        <xdr:cNvPr id="7" name="Chart 6">
          <a:extLst>
            <a:ext uri="{FF2B5EF4-FFF2-40B4-BE49-F238E27FC236}">
              <a16:creationId xmlns:a16="http://schemas.microsoft.com/office/drawing/2014/main" id="{4D7B00D3-6641-51AC-79A6-5C6F08F19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340360</xdr:colOff>
      <xdr:row>6</xdr:row>
      <xdr:rowOff>172726</xdr:rowOff>
    </xdr:from>
    <xdr:to>
      <xdr:col>23</xdr:col>
      <xdr:colOff>541867</xdr:colOff>
      <xdr:row>33</xdr:row>
      <xdr:rowOff>177800</xdr:rowOff>
    </xdr:to>
    <xdr:graphicFrame macro="">
      <xdr:nvGraphicFramePr>
        <xdr:cNvPr id="2" name="Chart 1">
          <a:extLst>
            <a:ext uri="{FF2B5EF4-FFF2-40B4-BE49-F238E27FC236}">
              <a16:creationId xmlns:a16="http://schemas.microsoft.com/office/drawing/2014/main" id="{A5B84A65-C924-9100-040F-AA7676AB7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114617</xdr:colOff>
      <xdr:row>11</xdr:row>
      <xdr:rowOff>87312</xdr:rowOff>
    </xdr:from>
    <xdr:to>
      <xdr:col>22</xdr:col>
      <xdr:colOff>444499</xdr:colOff>
      <xdr:row>44</xdr:row>
      <xdr:rowOff>7937</xdr:rowOff>
    </xdr:to>
    <xdr:graphicFrame macro="">
      <xdr:nvGraphicFramePr>
        <xdr:cNvPr id="2" name="Chart 1">
          <a:extLst>
            <a:ext uri="{FF2B5EF4-FFF2-40B4-BE49-F238E27FC236}">
              <a16:creationId xmlns:a16="http://schemas.microsoft.com/office/drawing/2014/main" id="{8EFA53DD-0F50-6004-9DF8-6946A3B8B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312420</xdr:colOff>
      <xdr:row>3</xdr:row>
      <xdr:rowOff>68586</xdr:rowOff>
    </xdr:from>
    <xdr:to>
      <xdr:col>22</xdr:col>
      <xdr:colOff>55245</xdr:colOff>
      <xdr:row>23</xdr:row>
      <xdr:rowOff>78111</xdr:rowOff>
    </xdr:to>
    <xdr:graphicFrame macro="">
      <xdr:nvGraphicFramePr>
        <xdr:cNvPr id="2" name="Chart 1">
          <a:extLst>
            <a:ext uri="{FF2B5EF4-FFF2-40B4-BE49-F238E27FC236}">
              <a16:creationId xmlns:a16="http://schemas.microsoft.com/office/drawing/2014/main" id="{929B5F8A-A2BD-FB35-F257-571570FF0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495300</xdr:colOff>
      <xdr:row>3</xdr:row>
      <xdr:rowOff>106686</xdr:rowOff>
    </xdr:from>
    <xdr:to>
      <xdr:col>21</xdr:col>
      <xdr:colOff>238125</xdr:colOff>
      <xdr:row>23</xdr:row>
      <xdr:rowOff>116211</xdr:rowOff>
    </xdr:to>
    <xdr:graphicFrame macro="">
      <xdr:nvGraphicFramePr>
        <xdr:cNvPr id="2" name="Chart 1">
          <a:extLst>
            <a:ext uri="{FF2B5EF4-FFF2-40B4-BE49-F238E27FC236}">
              <a16:creationId xmlns:a16="http://schemas.microsoft.com/office/drawing/2014/main" id="{8D8ACF52-3348-6CA6-B35C-996AFDF91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434340</xdr:colOff>
      <xdr:row>39</xdr:row>
      <xdr:rowOff>22866</xdr:rowOff>
    </xdr:from>
    <xdr:to>
      <xdr:col>10</xdr:col>
      <xdr:colOff>480060</xdr:colOff>
      <xdr:row>55</xdr:row>
      <xdr:rowOff>38106</xdr:rowOff>
    </xdr:to>
    <xdr:graphicFrame macro="">
      <xdr:nvGraphicFramePr>
        <xdr:cNvPr id="2" name="Chart 1">
          <a:extLst>
            <a:ext uri="{FF2B5EF4-FFF2-40B4-BE49-F238E27FC236}">
              <a16:creationId xmlns:a16="http://schemas.microsoft.com/office/drawing/2014/main" id="{DA928873-1AE6-D39C-4073-EE1BEBCF9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300723</xdr:colOff>
      <xdr:row>63</xdr:row>
      <xdr:rowOff>79749</xdr:rowOff>
    </xdr:from>
    <xdr:to>
      <xdr:col>7</xdr:col>
      <xdr:colOff>471021</xdr:colOff>
      <xdr:row>78</xdr:row>
      <xdr:rowOff>98889</xdr:rowOff>
    </xdr:to>
    <xdr:graphicFrame macro="">
      <xdr:nvGraphicFramePr>
        <xdr:cNvPr id="3" name="Chart 2">
          <a:extLst>
            <a:ext uri="{FF2B5EF4-FFF2-40B4-BE49-F238E27FC236}">
              <a16:creationId xmlns:a16="http://schemas.microsoft.com/office/drawing/2014/main" id="{407FA7BB-3F26-7047-A7BA-702CAC5B7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106680</xdr:colOff>
      <xdr:row>97</xdr:row>
      <xdr:rowOff>91446</xdr:rowOff>
    </xdr:from>
    <xdr:to>
      <xdr:col>17</xdr:col>
      <xdr:colOff>426720</xdr:colOff>
      <xdr:row>113</xdr:row>
      <xdr:rowOff>106686</xdr:rowOff>
    </xdr:to>
    <xdr:graphicFrame macro="">
      <xdr:nvGraphicFramePr>
        <xdr:cNvPr id="4" name="Chart 3">
          <a:extLst>
            <a:ext uri="{FF2B5EF4-FFF2-40B4-BE49-F238E27FC236}">
              <a16:creationId xmlns:a16="http://schemas.microsoft.com/office/drawing/2014/main" id="{B3EE9EA0-4FCB-A67E-171A-8292B856F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525780</xdr:colOff>
      <xdr:row>130</xdr:row>
      <xdr:rowOff>167646</xdr:rowOff>
    </xdr:from>
    <xdr:to>
      <xdr:col>12</xdr:col>
      <xdr:colOff>518160</xdr:colOff>
      <xdr:row>147</xdr:row>
      <xdr:rowOff>6</xdr:rowOff>
    </xdr:to>
    <xdr:graphicFrame macro="">
      <xdr:nvGraphicFramePr>
        <xdr:cNvPr id="5" name="Chart 4">
          <a:extLst>
            <a:ext uri="{FF2B5EF4-FFF2-40B4-BE49-F238E27FC236}">
              <a16:creationId xmlns:a16="http://schemas.microsoft.com/office/drawing/2014/main" id="{F745135B-7B46-1609-A67C-94C45EA77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22860</xdr:colOff>
      <xdr:row>14</xdr:row>
      <xdr:rowOff>137160</xdr:rowOff>
    </xdr:from>
    <xdr:to>
      <xdr:col>7</xdr:col>
      <xdr:colOff>1013460</xdr:colOff>
      <xdr:row>29</xdr:row>
      <xdr:rowOff>137160</xdr:rowOff>
    </xdr:to>
    <xdr:graphicFrame macro="">
      <xdr:nvGraphicFramePr>
        <xdr:cNvPr id="2" name="Chart 1">
          <a:extLst>
            <a:ext uri="{FF2B5EF4-FFF2-40B4-BE49-F238E27FC236}">
              <a16:creationId xmlns:a16="http://schemas.microsoft.com/office/drawing/2014/main" id="{660D51A0-F4FB-4639-B260-374319F20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1623060</xdr:colOff>
      <xdr:row>14</xdr:row>
      <xdr:rowOff>167640</xdr:rowOff>
    </xdr:from>
    <xdr:to>
      <xdr:col>16</xdr:col>
      <xdr:colOff>15240</xdr:colOff>
      <xdr:row>29</xdr:row>
      <xdr:rowOff>167640</xdr:rowOff>
    </xdr:to>
    <xdr:graphicFrame macro="">
      <xdr:nvGraphicFramePr>
        <xdr:cNvPr id="3" name="Chart 2">
          <a:extLst>
            <a:ext uri="{FF2B5EF4-FFF2-40B4-BE49-F238E27FC236}">
              <a16:creationId xmlns:a16="http://schemas.microsoft.com/office/drawing/2014/main" id="{7DFCCBCE-8CFB-4F86-990B-0B11145B8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647700</xdr:colOff>
      <xdr:row>33</xdr:row>
      <xdr:rowOff>99060</xdr:rowOff>
    </xdr:from>
    <xdr:to>
      <xdr:col>7</xdr:col>
      <xdr:colOff>1783080</xdr:colOff>
      <xdr:row>46</xdr:row>
      <xdr:rowOff>129540</xdr:rowOff>
    </xdr:to>
    <xdr:graphicFrame macro="">
      <xdr:nvGraphicFramePr>
        <xdr:cNvPr id="4" name="Chart 3">
          <a:extLst>
            <a:ext uri="{FF2B5EF4-FFF2-40B4-BE49-F238E27FC236}">
              <a16:creationId xmlns:a16="http://schemas.microsoft.com/office/drawing/2014/main" id="{5EBC1813-53D3-4AD6-AC66-9FCD5122E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45720</xdr:colOff>
      <xdr:row>33</xdr:row>
      <xdr:rowOff>121920</xdr:rowOff>
    </xdr:from>
    <xdr:to>
      <xdr:col>15</xdr:col>
      <xdr:colOff>350520</xdr:colOff>
      <xdr:row>48</xdr:row>
      <xdr:rowOff>121920</xdr:rowOff>
    </xdr:to>
    <xdr:graphicFrame macro="">
      <xdr:nvGraphicFramePr>
        <xdr:cNvPr id="5" name="Chart 4">
          <a:extLst>
            <a:ext uri="{FF2B5EF4-FFF2-40B4-BE49-F238E27FC236}">
              <a16:creationId xmlns:a16="http://schemas.microsoft.com/office/drawing/2014/main" id="{4CC05D67-8261-440B-89BC-C54EDB69E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144780</xdr:colOff>
      <xdr:row>0</xdr:row>
      <xdr:rowOff>0</xdr:rowOff>
    </xdr:from>
    <xdr:to>
      <xdr:col>15</xdr:col>
      <xdr:colOff>449580</xdr:colOff>
      <xdr:row>15</xdr:row>
      <xdr:rowOff>0</xdr:rowOff>
    </xdr:to>
    <xdr:graphicFrame macro="">
      <xdr:nvGraphicFramePr>
        <xdr:cNvPr id="6" name="Chart 5">
          <a:extLst>
            <a:ext uri="{FF2B5EF4-FFF2-40B4-BE49-F238E27FC236}">
              <a16:creationId xmlns:a16="http://schemas.microsoft.com/office/drawing/2014/main" id="{7FCF72D9-43CE-DD62-6621-DD3CBC75C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15</xdr:col>
      <xdr:colOff>198120</xdr:colOff>
      <xdr:row>2</xdr:row>
      <xdr:rowOff>152400</xdr:rowOff>
    </xdr:from>
    <xdr:to>
      <xdr:col>18</xdr:col>
      <xdr:colOff>312420</xdr:colOff>
      <xdr:row>7</xdr:row>
      <xdr:rowOff>7620</xdr:rowOff>
    </xdr:to>
    <xdr:sp macro="" textlink="">
      <xdr:nvSpPr>
        <xdr:cNvPr id="2" name="TextBox 1">
          <a:extLst>
            <a:ext uri="{FF2B5EF4-FFF2-40B4-BE49-F238E27FC236}">
              <a16:creationId xmlns:a16="http://schemas.microsoft.com/office/drawing/2014/main" id="{87903E11-5EF2-1A72-E2A0-AA3BFA5B68F9}"/>
            </a:ext>
          </a:extLst>
        </xdr:cNvPr>
        <xdr:cNvSpPr txBox="1"/>
      </xdr:nvSpPr>
      <xdr:spPr>
        <a:xfrm>
          <a:off x="13936980" y="518160"/>
          <a:ext cx="1943100" cy="769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This dataset was merged using Power BI</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hughesstephen_late_3949452_57432120_Final%20Exa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floresjacob_late_5180862_57439582_Final%20Exam%20(Autosav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ebsteru-my.sharepoint.com/Users/jeffreysalas86/Downloads/Final%20Exam_AW%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ebsteru-my.sharepoint.com/Users/jeffreysalas86/AppData/Local/Temp/Temp1_Excel%20Files%20(1).zip/Chapter%202%20Excel%20Files/Chapter2chart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chineseint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websteru-my.sharepoint.com/personal/rhineeri_webster_edu/Documents/Documents/Webster/Management%20Dept/Webster%20Classes/MRKT%205895%20-%20Mkt%20Analytics/Exam%20Material/Final%20Exam%20-%20Answer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websteru-my.sharepoint.com/Users/winston.ADS/Documents/nov11/retailwint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hw08/K509fall07hw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websteru-my.sharepoint.com/personal/rhineeri_webster_edu/Documents/Documents/Webster/Management%20Dept/Webster%20Classes/MRKT%205895%20-%20Mkt%20Analytics/Exam%20Material/Exam%20II%20(answers)%20-%20Version%20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websteru-my.sharepoint.com/personal/rhineeri_webster_edu/Documents/Documents/Webster/Management%20Dept/Webster%20Classes/MRKT%205895%20-%20Mkt%20Analytics/Exam%20Material/Exam%202%20(old)%20-%20Answer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MRKT%205895%20-%20Mkt%20Analytics/CLV%20Templ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websteru-my.sharepoint.com/Users/rhineeri/AppData/Local/Temp/Temp1_Chapter_38_Excel_Files.zip/Chapter_38_Excel_Files/breakfas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Old%20C%20drive/execmodule/execmod3asses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k510temp/solhw3k5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danieldeanna_late_5187794_57433834_DeAnnaDaniel_FinalExam_MRKT589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Fall%20'18/MRKT%205895/Week%208/In-Class%20Work%20-%20MD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a"/>
      <sheetName val="Trend &amp; Seasonality b"/>
      <sheetName val="Single &amp; Multiple Pricing"/>
      <sheetName val="S-curve"/>
      <sheetName val="RFM"/>
      <sheetName val="Cluster"/>
      <sheetName val="MDS"/>
      <sheetName val="CLV"/>
      <sheetName val="Forecast"/>
      <sheetName val="Point Sheet"/>
    </sheetNames>
    <sheetDataSet>
      <sheetData sheetId="0">
        <row r="12">
          <cell r="W12">
            <v>1</v>
          </cell>
        </row>
        <row r="13">
          <cell r="W13">
            <v>2.0031695573773529</v>
          </cell>
        </row>
        <row r="14">
          <cell r="W14">
            <v>5.3963500000000071</v>
          </cell>
        </row>
        <row r="133">
          <cell r="N133" t="str">
            <v>Customer</v>
          </cell>
          <cell r="O133" t="str">
            <v>Soap Ingredience</v>
          </cell>
          <cell r="P133" t="str">
            <v>Soap Fragrance</v>
          </cell>
          <cell r="Q133" t="str">
            <v>Color Options</v>
          </cell>
          <cell r="R133" t="str">
            <v>z Ingredients</v>
          </cell>
          <cell r="S133">
            <v>0</v>
          </cell>
          <cell r="T133" t="str">
            <v>z Fragrance</v>
          </cell>
          <cell r="U133" t="str">
            <v>z Color</v>
          </cell>
        </row>
        <row r="134">
          <cell r="N134">
            <v>1</v>
          </cell>
          <cell r="O134">
            <v>5</v>
          </cell>
          <cell r="P134">
            <v>5</v>
          </cell>
          <cell r="Q134">
            <v>2</v>
          </cell>
          <cell r="R134">
            <v>0.49614331465336126</v>
          </cell>
          <cell r="T134">
            <v>0.59271310737004301</v>
          </cell>
          <cell r="U134">
            <v>-1.0614362781511688</v>
          </cell>
        </row>
        <row r="135">
          <cell r="N135">
            <v>2</v>
          </cell>
          <cell r="O135">
            <v>7</v>
          </cell>
          <cell r="P135">
            <v>5</v>
          </cell>
          <cell r="Q135">
            <v>1</v>
          </cell>
          <cell r="R135">
            <v>1.5510065782406881</v>
          </cell>
          <cell r="T135">
            <v>0.59271310737004301</v>
          </cell>
          <cell r="U135">
            <v>-1.6131961055601465</v>
          </cell>
        </row>
        <row r="136">
          <cell r="N136">
            <v>3</v>
          </cell>
          <cell r="O136">
            <v>3</v>
          </cell>
          <cell r="P136">
            <v>5</v>
          </cell>
          <cell r="Q136">
            <v>4</v>
          </cell>
          <cell r="R136">
            <v>-0.5587199489339657</v>
          </cell>
          <cell r="T136">
            <v>0.59271310737004301</v>
          </cell>
          <cell r="U136">
            <v>4.2083376666786312E-2</v>
          </cell>
        </row>
        <row r="137">
          <cell r="N137">
            <v>4</v>
          </cell>
          <cell r="O137">
            <v>4</v>
          </cell>
          <cell r="P137">
            <v>5</v>
          </cell>
          <cell r="Q137">
            <v>4</v>
          </cell>
          <cell r="R137">
            <v>-3.1288317140302224E-2</v>
          </cell>
          <cell r="T137">
            <v>0.59271310737004301</v>
          </cell>
          <cell r="U137">
            <v>4.2083376666786312E-2</v>
          </cell>
        </row>
        <row r="138">
          <cell r="N138">
            <v>5</v>
          </cell>
          <cell r="O138">
            <v>6</v>
          </cell>
          <cell r="P138">
            <v>5</v>
          </cell>
          <cell r="Q138">
            <v>2</v>
          </cell>
          <cell r="R138">
            <v>1.0235749464470247</v>
          </cell>
          <cell r="T138">
            <v>0.59271310737004301</v>
          </cell>
          <cell r="U138">
            <v>-1.0614362781511688</v>
          </cell>
        </row>
        <row r="139">
          <cell r="N139">
            <v>6</v>
          </cell>
          <cell r="O139">
            <v>5</v>
          </cell>
          <cell r="P139">
            <v>6</v>
          </cell>
          <cell r="Q139">
            <v>5</v>
          </cell>
          <cell r="R139">
            <v>0.49614331465336126</v>
          </cell>
          <cell r="T139">
            <v>1.1185788718036149</v>
          </cell>
          <cell r="U139">
            <v>0.59384320407576385</v>
          </cell>
        </row>
        <row r="140">
          <cell r="N140">
            <v>7</v>
          </cell>
          <cell r="O140">
            <v>3</v>
          </cell>
          <cell r="P140">
            <v>1</v>
          </cell>
          <cell r="Q140">
            <v>7</v>
          </cell>
          <cell r="R140">
            <v>-0.5587199489339657</v>
          </cell>
          <cell r="T140">
            <v>-1.5107499503642448</v>
          </cell>
          <cell r="U140">
            <v>1.6973628588937191</v>
          </cell>
        </row>
        <row r="141">
          <cell r="N141">
            <v>8</v>
          </cell>
          <cell r="O141">
            <v>6</v>
          </cell>
          <cell r="P141">
            <v>3</v>
          </cell>
          <cell r="Q141">
            <v>2</v>
          </cell>
          <cell r="R141">
            <v>1.0235749464470247</v>
          </cell>
          <cell r="T141">
            <v>-0.45901842149710087</v>
          </cell>
          <cell r="U141">
            <v>-1.0614362781511688</v>
          </cell>
        </row>
        <row r="142">
          <cell r="N142">
            <v>9</v>
          </cell>
          <cell r="O142">
            <v>7</v>
          </cell>
          <cell r="P142">
            <v>5</v>
          </cell>
          <cell r="Q142">
            <v>3</v>
          </cell>
          <cell r="R142">
            <v>1.5510065782406881</v>
          </cell>
          <cell r="T142">
            <v>0.59271310737004301</v>
          </cell>
          <cell r="U142">
            <v>-0.50967645074219126</v>
          </cell>
        </row>
        <row r="143">
          <cell r="N143">
            <v>10</v>
          </cell>
          <cell r="O143">
            <v>5</v>
          </cell>
          <cell r="P143">
            <v>3</v>
          </cell>
          <cell r="Q143">
            <v>2</v>
          </cell>
          <cell r="R143">
            <v>0.49614331465336126</v>
          </cell>
          <cell r="T143">
            <v>-0.45901842149710087</v>
          </cell>
          <cell r="U143">
            <v>-1.0614362781511688</v>
          </cell>
        </row>
        <row r="144">
          <cell r="N144">
            <v>11</v>
          </cell>
          <cell r="O144">
            <v>5</v>
          </cell>
          <cell r="P144">
            <v>6</v>
          </cell>
          <cell r="Q144">
            <v>4</v>
          </cell>
          <cell r="R144">
            <v>0.49614331465336126</v>
          </cell>
          <cell r="T144">
            <v>1.1185788718036149</v>
          </cell>
          <cell r="U144">
            <v>4.2083376666786312E-2</v>
          </cell>
        </row>
        <row r="145">
          <cell r="N145">
            <v>12</v>
          </cell>
          <cell r="O145">
            <v>3</v>
          </cell>
          <cell r="P145">
            <v>7</v>
          </cell>
          <cell r="Q145">
            <v>5</v>
          </cell>
          <cell r="R145">
            <v>-0.5587199489339657</v>
          </cell>
          <cell r="T145">
            <v>1.644444636237187</v>
          </cell>
          <cell r="U145">
            <v>0.59384320407576385</v>
          </cell>
        </row>
        <row r="146">
          <cell r="N146">
            <v>13</v>
          </cell>
          <cell r="O146">
            <v>2</v>
          </cell>
          <cell r="P146">
            <v>3</v>
          </cell>
          <cell r="Q146">
            <v>7</v>
          </cell>
          <cell r="R146">
            <v>-1.0861515807276292</v>
          </cell>
          <cell r="T146">
            <v>-0.45901842149710087</v>
          </cell>
          <cell r="U146">
            <v>1.6973628588937191</v>
          </cell>
        </row>
        <row r="147">
          <cell r="N147">
            <v>14</v>
          </cell>
          <cell r="O147">
            <v>3</v>
          </cell>
          <cell r="P147">
            <v>7</v>
          </cell>
          <cell r="Q147">
            <v>5</v>
          </cell>
          <cell r="R147">
            <v>-0.5587199489339657</v>
          </cell>
          <cell r="T147">
            <v>1.644444636237187</v>
          </cell>
          <cell r="U147">
            <v>0.59384320407576385</v>
          </cell>
        </row>
        <row r="148">
          <cell r="N148">
            <v>15</v>
          </cell>
          <cell r="O148">
            <v>5</v>
          </cell>
          <cell r="P148">
            <v>6</v>
          </cell>
          <cell r="Q148">
            <v>5</v>
          </cell>
          <cell r="R148">
            <v>0.49614331465336126</v>
          </cell>
          <cell r="T148">
            <v>1.1185788718036149</v>
          </cell>
          <cell r="U148">
            <v>0.59384320407576385</v>
          </cell>
        </row>
        <row r="149">
          <cell r="N149">
            <v>16</v>
          </cell>
          <cell r="O149">
            <v>5</v>
          </cell>
          <cell r="P149">
            <v>5</v>
          </cell>
          <cell r="Q149">
            <v>1</v>
          </cell>
          <cell r="R149">
            <v>0.49614331465336126</v>
          </cell>
          <cell r="T149">
            <v>0.59271310737004301</v>
          </cell>
          <cell r="U149">
            <v>-1.6131961055601465</v>
          </cell>
        </row>
        <row r="150">
          <cell r="N150">
            <v>17</v>
          </cell>
          <cell r="O150">
            <v>4</v>
          </cell>
          <cell r="P150">
            <v>7</v>
          </cell>
          <cell r="Q150">
            <v>5</v>
          </cell>
          <cell r="R150">
            <v>-3.1288317140302224E-2</v>
          </cell>
          <cell r="T150">
            <v>1.644444636237187</v>
          </cell>
          <cell r="U150">
            <v>0.59384320407576385</v>
          </cell>
        </row>
        <row r="151">
          <cell r="N151">
            <v>18</v>
          </cell>
          <cell r="O151">
            <v>4</v>
          </cell>
          <cell r="P151">
            <v>6</v>
          </cell>
          <cell r="Q151">
            <v>5</v>
          </cell>
          <cell r="R151">
            <v>-3.1288317140302224E-2</v>
          </cell>
          <cell r="T151">
            <v>1.1185788718036149</v>
          </cell>
          <cell r="U151">
            <v>0.59384320407576385</v>
          </cell>
        </row>
        <row r="152">
          <cell r="N152">
            <v>19</v>
          </cell>
          <cell r="O152">
            <v>3</v>
          </cell>
          <cell r="P152">
            <v>5</v>
          </cell>
          <cell r="Q152">
            <v>3</v>
          </cell>
          <cell r="R152">
            <v>-0.5587199489339657</v>
          </cell>
          <cell r="T152">
            <v>0.59271310737004301</v>
          </cell>
          <cell r="U152">
            <v>-0.50967645074219126</v>
          </cell>
        </row>
        <row r="153">
          <cell r="N153">
            <v>20</v>
          </cell>
          <cell r="O153">
            <v>1</v>
          </cell>
          <cell r="P153">
            <v>1</v>
          </cell>
          <cell r="Q153">
            <v>7</v>
          </cell>
          <cell r="R153">
            <v>-1.6135832125212926</v>
          </cell>
          <cell r="T153">
            <v>-1.5107499503642448</v>
          </cell>
          <cell r="U153">
            <v>1.6973628588937191</v>
          </cell>
        </row>
        <row r="154">
          <cell r="N154">
            <v>21</v>
          </cell>
          <cell r="O154">
            <v>3</v>
          </cell>
          <cell r="P154">
            <v>1</v>
          </cell>
          <cell r="Q154">
            <v>5</v>
          </cell>
          <cell r="R154">
            <v>-0.5587199489339657</v>
          </cell>
          <cell r="T154">
            <v>-1.5107499503642448</v>
          </cell>
          <cell r="U154">
            <v>0.59384320407576385</v>
          </cell>
        </row>
        <row r="155">
          <cell r="N155">
            <v>22</v>
          </cell>
          <cell r="O155">
            <v>4</v>
          </cell>
          <cell r="P155">
            <v>7</v>
          </cell>
          <cell r="Q155">
            <v>3</v>
          </cell>
          <cell r="R155">
            <v>-3.1288317140302224E-2</v>
          </cell>
          <cell r="T155">
            <v>1.644444636237187</v>
          </cell>
          <cell r="U155">
            <v>-0.50967645074219126</v>
          </cell>
        </row>
        <row r="156">
          <cell r="N156">
            <v>23</v>
          </cell>
          <cell r="O156">
            <v>5</v>
          </cell>
          <cell r="P156">
            <v>5</v>
          </cell>
          <cell r="Q156">
            <v>4</v>
          </cell>
          <cell r="R156">
            <v>0.49614331465336126</v>
          </cell>
          <cell r="T156">
            <v>0.59271310737004301</v>
          </cell>
          <cell r="U156">
            <v>4.2083376666786312E-2</v>
          </cell>
        </row>
        <row r="157">
          <cell r="N157">
            <v>24</v>
          </cell>
          <cell r="O157">
            <v>6</v>
          </cell>
          <cell r="P157">
            <v>3</v>
          </cell>
          <cell r="Q157">
            <v>3</v>
          </cell>
          <cell r="R157">
            <v>1.0235749464470247</v>
          </cell>
          <cell r="T157">
            <v>-0.45901842149710087</v>
          </cell>
          <cell r="U157">
            <v>-0.50967645074219126</v>
          </cell>
        </row>
        <row r="158">
          <cell r="N158">
            <v>25</v>
          </cell>
          <cell r="O158">
            <v>3</v>
          </cell>
          <cell r="P158">
            <v>2</v>
          </cell>
          <cell r="Q158">
            <v>5</v>
          </cell>
          <cell r="R158">
            <v>-0.5587199489339657</v>
          </cell>
          <cell r="T158">
            <v>-0.98488418593067284</v>
          </cell>
          <cell r="U158">
            <v>0.59384320407576385</v>
          </cell>
        </row>
        <row r="159">
          <cell r="N159">
            <v>26</v>
          </cell>
          <cell r="O159">
            <v>3</v>
          </cell>
          <cell r="P159">
            <v>2</v>
          </cell>
          <cell r="Q159">
            <v>5</v>
          </cell>
          <cell r="R159">
            <v>-0.5587199489339657</v>
          </cell>
          <cell r="T159">
            <v>-0.98488418593067284</v>
          </cell>
          <cell r="U159">
            <v>0.59384320407576385</v>
          </cell>
        </row>
        <row r="160">
          <cell r="N160">
            <v>27</v>
          </cell>
          <cell r="O160">
            <v>2</v>
          </cell>
          <cell r="P160">
            <v>2</v>
          </cell>
          <cell r="Q160">
            <v>7</v>
          </cell>
          <cell r="R160">
            <v>-1.0861515807276292</v>
          </cell>
          <cell r="T160">
            <v>-0.98488418593067284</v>
          </cell>
          <cell r="U160">
            <v>1.6973628588937191</v>
          </cell>
        </row>
        <row r="161">
          <cell r="N161">
            <v>28</v>
          </cell>
          <cell r="O161">
            <v>5</v>
          </cell>
          <cell r="P161">
            <v>5</v>
          </cell>
          <cell r="Q161">
            <v>3</v>
          </cell>
          <cell r="R161">
            <v>0.49614331465336126</v>
          </cell>
          <cell r="T161">
            <v>0.59271310737004301</v>
          </cell>
          <cell r="U161">
            <v>-0.50967645074219126</v>
          </cell>
        </row>
        <row r="162">
          <cell r="N162">
            <v>29</v>
          </cell>
          <cell r="O162">
            <v>3</v>
          </cell>
          <cell r="P162">
            <v>2</v>
          </cell>
          <cell r="Q162">
            <v>7</v>
          </cell>
          <cell r="R162">
            <v>-0.5587199489339657</v>
          </cell>
          <cell r="T162">
            <v>-0.98488418593067284</v>
          </cell>
          <cell r="U162">
            <v>1.6973628588937191</v>
          </cell>
        </row>
        <row r="163">
          <cell r="N163">
            <v>30</v>
          </cell>
          <cell r="O163">
            <v>2</v>
          </cell>
          <cell r="P163">
            <v>1</v>
          </cell>
          <cell r="Q163">
            <v>5</v>
          </cell>
          <cell r="R163">
            <v>-1.0861515807276292</v>
          </cell>
          <cell r="T163">
            <v>-1.5107499503642448</v>
          </cell>
          <cell r="U163">
            <v>0.59384320407576385</v>
          </cell>
        </row>
        <row r="164">
          <cell r="N164">
            <v>31</v>
          </cell>
          <cell r="O164">
            <v>5</v>
          </cell>
          <cell r="P164">
            <v>5</v>
          </cell>
          <cell r="Q164">
            <v>4</v>
          </cell>
          <cell r="R164">
            <v>0.49614331465336126</v>
          </cell>
          <cell r="T164">
            <v>0.59271310737004301</v>
          </cell>
          <cell r="U164">
            <v>4.2083376666786312E-2</v>
          </cell>
        </row>
        <row r="165">
          <cell r="N165">
            <v>32</v>
          </cell>
          <cell r="O165">
            <v>6</v>
          </cell>
          <cell r="P165">
            <v>3</v>
          </cell>
          <cell r="Q165">
            <v>2</v>
          </cell>
          <cell r="R165">
            <v>1.0235749464470247</v>
          </cell>
          <cell r="T165">
            <v>-0.45901842149710087</v>
          </cell>
          <cell r="U165">
            <v>-1.0614362781511688</v>
          </cell>
        </row>
        <row r="166">
          <cell r="N166">
            <v>33</v>
          </cell>
          <cell r="O166">
            <v>5</v>
          </cell>
          <cell r="P166">
            <v>7</v>
          </cell>
          <cell r="Q166">
            <v>5</v>
          </cell>
          <cell r="R166">
            <v>0.49614331465336126</v>
          </cell>
          <cell r="T166">
            <v>1.644444636237187</v>
          </cell>
          <cell r="U166">
            <v>0.59384320407576385</v>
          </cell>
        </row>
        <row r="167">
          <cell r="N167">
            <v>34</v>
          </cell>
          <cell r="O167">
            <v>5</v>
          </cell>
          <cell r="P167">
            <v>4</v>
          </cell>
          <cell r="Q167">
            <v>1</v>
          </cell>
          <cell r="R167">
            <v>0.49614331465336126</v>
          </cell>
          <cell r="T167">
            <v>6.6847342936471071E-2</v>
          </cell>
          <cell r="U167">
            <v>-1.6131961055601465</v>
          </cell>
        </row>
        <row r="168">
          <cell r="N168">
            <v>35</v>
          </cell>
          <cell r="O168">
            <v>2</v>
          </cell>
          <cell r="P168">
            <v>2</v>
          </cell>
          <cell r="Q168">
            <v>7</v>
          </cell>
          <cell r="R168">
            <v>-1.0861515807276292</v>
          </cell>
          <cell r="T168">
            <v>-0.98488418593067284</v>
          </cell>
          <cell r="U168">
            <v>1.6973628588937191</v>
          </cell>
        </row>
        <row r="169">
          <cell r="N169">
            <v>36</v>
          </cell>
          <cell r="O169">
            <v>1</v>
          </cell>
          <cell r="P169">
            <v>1</v>
          </cell>
          <cell r="Q169">
            <v>6</v>
          </cell>
          <cell r="R169">
            <v>-1.6135832125212926</v>
          </cell>
          <cell r="T169">
            <v>-1.5107499503642448</v>
          </cell>
          <cell r="U169">
            <v>1.1456030314847414</v>
          </cell>
        </row>
        <row r="170">
          <cell r="N170">
            <v>37</v>
          </cell>
          <cell r="O170">
            <v>3</v>
          </cell>
          <cell r="P170">
            <v>1</v>
          </cell>
          <cell r="Q170">
            <v>5</v>
          </cell>
          <cell r="R170">
            <v>-0.5587199489339657</v>
          </cell>
          <cell r="T170">
            <v>-1.5107499503642448</v>
          </cell>
          <cell r="U170">
            <v>0.59384320407576385</v>
          </cell>
        </row>
        <row r="171">
          <cell r="N171">
            <v>38</v>
          </cell>
          <cell r="O171">
            <v>3</v>
          </cell>
          <cell r="P171">
            <v>6</v>
          </cell>
          <cell r="Q171">
            <v>3</v>
          </cell>
          <cell r="R171">
            <v>-0.5587199489339657</v>
          </cell>
          <cell r="T171">
            <v>1.1185788718036149</v>
          </cell>
          <cell r="U171">
            <v>-0.50967645074219126</v>
          </cell>
        </row>
        <row r="172">
          <cell r="N172">
            <v>39</v>
          </cell>
          <cell r="O172">
            <v>5</v>
          </cell>
          <cell r="P172">
            <v>7</v>
          </cell>
          <cell r="Q172">
            <v>5</v>
          </cell>
          <cell r="R172">
            <v>0.49614331465336126</v>
          </cell>
          <cell r="T172">
            <v>1.644444636237187</v>
          </cell>
          <cell r="U172">
            <v>0.59384320407576385</v>
          </cell>
        </row>
        <row r="173">
          <cell r="N173">
            <v>40</v>
          </cell>
          <cell r="O173">
            <v>3</v>
          </cell>
          <cell r="P173">
            <v>2</v>
          </cell>
          <cell r="Q173">
            <v>6</v>
          </cell>
          <cell r="R173">
            <v>-0.5587199489339657</v>
          </cell>
          <cell r="T173">
            <v>-0.98488418593067284</v>
          </cell>
          <cell r="U173">
            <v>1.1456030314847414</v>
          </cell>
        </row>
        <row r="174">
          <cell r="N174">
            <v>41</v>
          </cell>
          <cell r="O174">
            <v>5</v>
          </cell>
          <cell r="P174">
            <v>3</v>
          </cell>
          <cell r="Q174">
            <v>3</v>
          </cell>
          <cell r="R174">
            <v>0.49614331465336126</v>
          </cell>
          <cell r="T174">
            <v>-0.45901842149710087</v>
          </cell>
          <cell r="U174">
            <v>-0.50967645074219126</v>
          </cell>
        </row>
        <row r="175">
          <cell r="N175">
            <v>42</v>
          </cell>
          <cell r="O175">
            <v>3</v>
          </cell>
          <cell r="P175">
            <v>6</v>
          </cell>
          <cell r="Q175">
            <v>3</v>
          </cell>
          <cell r="R175">
            <v>-0.5587199489339657</v>
          </cell>
          <cell r="T175">
            <v>1.1185788718036149</v>
          </cell>
          <cell r="U175">
            <v>-0.50967645074219126</v>
          </cell>
        </row>
        <row r="176">
          <cell r="N176">
            <v>43</v>
          </cell>
          <cell r="O176">
            <v>4</v>
          </cell>
          <cell r="P176">
            <v>6</v>
          </cell>
          <cell r="Q176">
            <v>5</v>
          </cell>
          <cell r="R176">
            <v>-3.1288317140302224E-2</v>
          </cell>
          <cell r="T176">
            <v>1.1185788718036149</v>
          </cell>
          <cell r="U176">
            <v>0.59384320407576385</v>
          </cell>
        </row>
        <row r="177">
          <cell r="N177">
            <v>44</v>
          </cell>
          <cell r="O177">
            <v>7</v>
          </cell>
          <cell r="P177">
            <v>4</v>
          </cell>
          <cell r="Q177">
            <v>2</v>
          </cell>
          <cell r="R177">
            <v>1.5510065782406881</v>
          </cell>
          <cell r="T177">
            <v>6.6847342936471071E-2</v>
          </cell>
          <cell r="U177">
            <v>-1.0614362781511688</v>
          </cell>
        </row>
        <row r="178">
          <cell r="N178">
            <v>45</v>
          </cell>
          <cell r="O178">
            <v>4</v>
          </cell>
          <cell r="P178">
            <v>6</v>
          </cell>
          <cell r="Q178">
            <v>3</v>
          </cell>
          <cell r="R178">
            <v>-3.1288317140302224E-2</v>
          </cell>
          <cell r="T178">
            <v>1.1185788718036149</v>
          </cell>
          <cell r="U178">
            <v>-0.50967645074219126</v>
          </cell>
        </row>
        <row r="179">
          <cell r="N179">
            <v>46</v>
          </cell>
          <cell r="O179">
            <v>4</v>
          </cell>
          <cell r="P179">
            <v>7</v>
          </cell>
          <cell r="Q179">
            <v>4</v>
          </cell>
          <cell r="R179">
            <v>-3.1288317140302224E-2</v>
          </cell>
          <cell r="T179">
            <v>1.644444636237187</v>
          </cell>
          <cell r="U179">
            <v>4.2083376666786312E-2</v>
          </cell>
        </row>
        <row r="180">
          <cell r="N180">
            <v>47</v>
          </cell>
          <cell r="O180">
            <v>2</v>
          </cell>
          <cell r="P180">
            <v>3</v>
          </cell>
          <cell r="Q180">
            <v>5</v>
          </cell>
          <cell r="R180">
            <v>-1.0861515807276292</v>
          </cell>
          <cell r="T180">
            <v>-0.45901842149710087</v>
          </cell>
          <cell r="U180">
            <v>0.59384320407576385</v>
          </cell>
        </row>
        <row r="181">
          <cell r="N181">
            <v>48</v>
          </cell>
          <cell r="O181">
            <v>7</v>
          </cell>
          <cell r="P181">
            <v>3</v>
          </cell>
          <cell r="Q181">
            <v>1</v>
          </cell>
          <cell r="R181">
            <v>1.5510065782406881</v>
          </cell>
          <cell r="T181">
            <v>-0.45901842149710087</v>
          </cell>
          <cell r="U181">
            <v>-1.6131961055601465</v>
          </cell>
        </row>
        <row r="182">
          <cell r="N182">
            <v>49</v>
          </cell>
          <cell r="O182">
            <v>2</v>
          </cell>
          <cell r="P182">
            <v>2</v>
          </cell>
          <cell r="Q182">
            <v>5</v>
          </cell>
          <cell r="R182">
            <v>-1.0861515807276292</v>
          </cell>
          <cell r="T182">
            <v>-0.98488418593067284</v>
          </cell>
          <cell r="U182">
            <v>0.59384320407576385</v>
          </cell>
        </row>
        <row r="183">
          <cell r="N183">
            <v>50</v>
          </cell>
          <cell r="O183">
            <v>5</v>
          </cell>
          <cell r="P183">
            <v>3</v>
          </cell>
          <cell r="Q183">
            <v>3</v>
          </cell>
          <cell r="R183">
            <v>0.49614331465336126</v>
          </cell>
          <cell r="T183">
            <v>-0.45901842149710087</v>
          </cell>
          <cell r="U183">
            <v>-0.50967645074219126</v>
          </cell>
        </row>
        <row r="184">
          <cell r="N184">
            <v>51</v>
          </cell>
          <cell r="O184">
            <v>3</v>
          </cell>
          <cell r="P184">
            <v>3</v>
          </cell>
          <cell r="Q184">
            <v>7</v>
          </cell>
          <cell r="R184">
            <v>-0.5587199489339657</v>
          </cell>
          <cell r="T184">
            <v>-0.45901842149710087</v>
          </cell>
          <cell r="U184">
            <v>1.6973628588937191</v>
          </cell>
        </row>
        <row r="185">
          <cell r="N185">
            <v>52</v>
          </cell>
          <cell r="O185">
            <v>4</v>
          </cell>
          <cell r="P185">
            <v>6</v>
          </cell>
          <cell r="Q185">
            <v>5</v>
          </cell>
          <cell r="R185">
            <v>-3.1288317140302224E-2</v>
          </cell>
          <cell r="T185">
            <v>1.1185788718036149</v>
          </cell>
          <cell r="U185">
            <v>0.59384320407576385</v>
          </cell>
        </row>
        <row r="186">
          <cell r="N186">
            <v>53</v>
          </cell>
          <cell r="O186">
            <v>6</v>
          </cell>
          <cell r="P186">
            <v>3</v>
          </cell>
          <cell r="Q186">
            <v>2</v>
          </cell>
          <cell r="R186">
            <v>1.0235749464470247</v>
          </cell>
          <cell r="T186">
            <v>-0.45901842149710087</v>
          </cell>
          <cell r="U186">
            <v>-1.0614362781511688</v>
          </cell>
        </row>
        <row r="187">
          <cell r="N187">
            <v>54</v>
          </cell>
          <cell r="O187">
            <v>4</v>
          </cell>
          <cell r="P187">
            <v>7</v>
          </cell>
          <cell r="Q187">
            <v>4</v>
          </cell>
          <cell r="R187">
            <v>-3.1288317140302224E-2</v>
          </cell>
          <cell r="T187">
            <v>1.644444636237187</v>
          </cell>
          <cell r="U187">
            <v>4.2083376666786312E-2</v>
          </cell>
        </row>
        <row r="188">
          <cell r="N188">
            <v>55</v>
          </cell>
          <cell r="O188">
            <v>2</v>
          </cell>
          <cell r="P188">
            <v>1</v>
          </cell>
          <cell r="Q188">
            <v>5</v>
          </cell>
          <cell r="R188">
            <v>-1.0861515807276292</v>
          </cell>
          <cell r="T188">
            <v>-1.5107499503642448</v>
          </cell>
          <cell r="U188">
            <v>0.59384320407576385</v>
          </cell>
        </row>
        <row r="189">
          <cell r="N189">
            <v>56</v>
          </cell>
          <cell r="O189">
            <v>5</v>
          </cell>
          <cell r="P189">
            <v>6</v>
          </cell>
          <cell r="Q189">
            <v>5</v>
          </cell>
          <cell r="R189">
            <v>0.49614331465336126</v>
          </cell>
          <cell r="T189">
            <v>1.1185788718036149</v>
          </cell>
          <cell r="U189">
            <v>0.59384320407576385</v>
          </cell>
        </row>
        <row r="190">
          <cell r="N190">
            <v>57</v>
          </cell>
          <cell r="O190">
            <v>5</v>
          </cell>
          <cell r="P190">
            <v>4</v>
          </cell>
          <cell r="Q190">
            <v>1</v>
          </cell>
          <cell r="R190">
            <v>0.49614331465336126</v>
          </cell>
          <cell r="T190">
            <v>6.6847342936471071E-2</v>
          </cell>
          <cell r="U190">
            <v>-1.6131961055601465</v>
          </cell>
        </row>
        <row r="191">
          <cell r="N191">
            <v>58</v>
          </cell>
          <cell r="O191">
            <v>2</v>
          </cell>
          <cell r="P191">
            <v>2</v>
          </cell>
          <cell r="Q191">
            <v>5</v>
          </cell>
          <cell r="R191">
            <v>-1.0861515807276292</v>
          </cell>
          <cell r="T191">
            <v>-0.98488418593067284</v>
          </cell>
          <cell r="U191">
            <v>0.59384320407576385</v>
          </cell>
        </row>
        <row r="192">
          <cell r="N192">
            <v>59</v>
          </cell>
          <cell r="O192">
            <v>3</v>
          </cell>
          <cell r="P192">
            <v>6</v>
          </cell>
          <cell r="Q192">
            <v>3</v>
          </cell>
          <cell r="R192">
            <v>-0.5587199489339657</v>
          </cell>
          <cell r="T192">
            <v>1.1185788718036149</v>
          </cell>
          <cell r="U192">
            <v>-0.50967645074219126</v>
          </cell>
        </row>
        <row r="193">
          <cell r="N193">
            <v>60</v>
          </cell>
          <cell r="O193">
            <v>1</v>
          </cell>
          <cell r="P193">
            <v>2</v>
          </cell>
          <cell r="Q193">
            <v>5</v>
          </cell>
          <cell r="R193">
            <v>-1.6135832125212926</v>
          </cell>
          <cell r="T193">
            <v>-0.98488418593067284</v>
          </cell>
          <cell r="U193">
            <v>0.59384320407576385</v>
          </cell>
        </row>
        <row r="194">
          <cell r="N194">
            <v>61</v>
          </cell>
          <cell r="O194">
            <v>3</v>
          </cell>
          <cell r="P194">
            <v>5</v>
          </cell>
          <cell r="Q194">
            <v>3</v>
          </cell>
          <cell r="R194">
            <v>-0.5587199489339657</v>
          </cell>
          <cell r="T194">
            <v>0.59271310737004301</v>
          </cell>
          <cell r="U194">
            <v>-0.50967645074219126</v>
          </cell>
        </row>
        <row r="195">
          <cell r="N195">
            <v>62</v>
          </cell>
          <cell r="O195">
            <v>2</v>
          </cell>
          <cell r="P195">
            <v>3</v>
          </cell>
          <cell r="Q195">
            <v>7</v>
          </cell>
          <cell r="R195">
            <v>-1.0861515807276292</v>
          </cell>
          <cell r="T195">
            <v>-0.45901842149710087</v>
          </cell>
          <cell r="U195">
            <v>1.6973628588937191</v>
          </cell>
        </row>
        <row r="196">
          <cell r="N196">
            <v>63</v>
          </cell>
          <cell r="O196">
            <v>1</v>
          </cell>
          <cell r="P196">
            <v>2</v>
          </cell>
          <cell r="Q196">
            <v>6</v>
          </cell>
          <cell r="R196">
            <v>-1.6135832125212926</v>
          </cell>
          <cell r="T196">
            <v>-0.98488418593067284</v>
          </cell>
          <cell r="U196">
            <v>1.1456030314847414</v>
          </cell>
        </row>
        <row r="197">
          <cell r="N197">
            <v>64</v>
          </cell>
          <cell r="O197">
            <v>2</v>
          </cell>
          <cell r="P197">
            <v>1</v>
          </cell>
          <cell r="Q197">
            <v>5</v>
          </cell>
          <cell r="R197">
            <v>-1.0861515807276292</v>
          </cell>
          <cell r="T197">
            <v>-1.5107499503642448</v>
          </cell>
          <cell r="U197">
            <v>0.59384320407576385</v>
          </cell>
        </row>
        <row r="198">
          <cell r="N198">
            <v>65</v>
          </cell>
          <cell r="O198">
            <v>1</v>
          </cell>
          <cell r="P198">
            <v>2</v>
          </cell>
          <cell r="Q198">
            <v>7</v>
          </cell>
          <cell r="R198">
            <v>-1.6135832125212926</v>
          </cell>
          <cell r="T198">
            <v>-0.98488418593067284</v>
          </cell>
          <cell r="U198">
            <v>1.6973628588937191</v>
          </cell>
        </row>
        <row r="199">
          <cell r="N199">
            <v>66</v>
          </cell>
          <cell r="O199">
            <v>6</v>
          </cell>
          <cell r="P199">
            <v>4</v>
          </cell>
          <cell r="Q199">
            <v>1</v>
          </cell>
          <cell r="R199">
            <v>1.0235749464470247</v>
          </cell>
          <cell r="T199">
            <v>6.6847342936471071E-2</v>
          </cell>
          <cell r="U199">
            <v>-1.6131961055601465</v>
          </cell>
        </row>
        <row r="200">
          <cell r="N200">
            <v>67</v>
          </cell>
          <cell r="O200">
            <v>7</v>
          </cell>
          <cell r="P200">
            <v>4</v>
          </cell>
          <cell r="Q200">
            <v>2</v>
          </cell>
          <cell r="R200">
            <v>1.5510065782406881</v>
          </cell>
          <cell r="T200">
            <v>6.6847342936471071E-2</v>
          </cell>
          <cell r="U200">
            <v>-1.0614362781511688</v>
          </cell>
        </row>
        <row r="201">
          <cell r="N201">
            <v>68</v>
          </cell>
          <cell r="O201">
            <v>7</v>
          </cell>
          <cell r="P201">
            <v>4</v>
          </cell>
          <cell r="Q201">
            <v>1</v>
          </cell>
          <cell r="R201">
            <v>1.5510065782406881</v>
          </cell>
          <cell r="T201">
            <v>6.6847342936471071E-2</v>
          </cell>
          <cell r="U201">
            <v>-1.6131961055601465</v>
          </cell>
        </row>
        <row r="202">
          <cell r="N202">
            <v>69</v>
          </cell>
          <cell r="O202">
            <v>3</v>
          </cell>
          <cell r="P202">
            <v>6</v>
          </cell>
          <cell r="Q202">
            <v>3</v>
          </cell>
          <cell r="R202">
            <v>-0.5587199489339657</v>
          </cell>
          <cell r="T202">
            <v>1.1185788718036149</v>
          </cell>
          <cell r="U202">
            <v>-0.50967645074219126</v>
          </cell>
        </row>
        <row r="203">
          <cell r="N203">
            <v>70</v>
          </cell>
          <cell r="O203">
            <v>1</v>
          </cell>
          <cell r="P203">
            <v>1</v>
          </cell>
          <cell r="Q203">
            <v>5</v>
          </cell>
          <cell r="R203">
            <v>-1.6135832125212926</v>
          </cell>
          <cell r="T203">
            <v>-1.5107499503642448</v>
          </cell>
          <cell r="U203">
            <v>0.59384320407576385</v>
          </cell>
        </row>
        <row r="204">
          <cell r="N204">
            <v>71</v>
          </cell>
          <cell r="O204">
            <v>4</v>
          </cell>
          <cell r="P204">
            <v>7</v>
          </cell>
          <cell r="Q204">
            <v>3</v>
          </cell>
          <cell r="R204">
            <v>-3.1288317140302224E-2</v>
          </cell>
          <cell r="T204">
            <v>1.644444636237187</v>
          </cell>
          <cell r="U204">
            <v>-0.50967645074219126</v>
          </cell>
        </row>
        <row r="205">
          <cell r="N205">
            <v>72</v>
          </cell>
          <cell r="O205">
            <v>1</v>
          </cell>
          <cell r="P205">
            <v>3</v>
          </cell>
          <cell r="Q205">
            <v>6</v>
          </cell>
          <cell r="R205">
            <v>-1.6135832125212926</v>
          </cell>
          <cell r="T205">
            <v>-0.45901842149710087</v>
          </cell>
          <cell r="U205">
            <v>1.1456030314847414</v>
          </cell>
        </row>
        <row r="206">
          <cell r="N206">
            <v>73</v>
          </cell>
          <cell r="O206">
            <v>7</v>
          </cell>
          <cell r="P206">
            <v>3</v>
          </cell>
          <cell r="Q206">
            <v>1</v>
          </cell>
          <cell r="R206">
            <v>1.5510065782406881</v>
          </cell>
          <cell r="T206">
            <v>-0.45901842149710087</v>
          </cell>
          <cell r="U206">
            <v>-1.6131961055601465</v>
          </cell>
        </row>
        <row r="207">
          <cell r="N207">
            <v>74</v>
          </cell>
          <cell r="O207">
            <v>5</v>
          </cell>
          <cell r="P207">
            <v>4</v>
          </cell>
          <cell r="Q207">
            <v>2</v>
          </cell>
          <cell r="R207">
            <v>0.49614331465336126</v>
          </cell>
          <cell r="T207">
            <v>6.6847342936471071E-2</v>
          </cell>
          <cell r="U207">
            <v>-1.0614362781511688</v>
          </cell>
        </row>
        <row r="208">
          <cell r="N208">
            <v>75</v>
          </cell>
          <cell r="O208">
            <v>6</v>
          </cell>
          <cell r="P208">
            <v>4</v>
          </cell>
          <cell r="Q208">
            <v>2</v>
          </cell>
          <cell r="R208">
            <v>1.0235749464470247</v>
          </cell>
          <cell r="T208">
            <v>6.6847342936471071E-2</v>
          </cell>
          <cell r="U208">
            <v>-1.0614362781511688</v>
          </cell>
        </row>
        <row r="209">
          <cell r="N209">
            <v>76</v>
          </cell>
          <cell r="O209">
            <v>6</v>
          </cell>
          <cell r="P209">
            <v>3</v>
          </cell>
          <cell r="Q209">
            <v>1</v>
          </cell>
          <cell r="R209">
            <v>1.0235749464470247</v>
          </cell>
          <cell r="T209">
            <v>-0.45901842149710087</v>
          </cell>
          <cell r="U209">
            <v>-1.6131961055601465</v>
          </cell>
        </row>
        <row r="210">
          <cell r="N210">
            <v>77</v>
          </cell>
          <cell r="O210">
            <v>2</v>
          </cell>
          <cell r="P210">
            <v>1</v>
          </cell>
          <cell r="Q210">
            <v>7</v>
          </cell>
          <cell r="R210">
            <v>-1.0861515807276292</v>
          </cell>
          <cell r="T210">
            <v>-1.5107499503642448</v>
          </cell>
          <cell r="U210">
            <v>1.6973628588937191</v>
          </cell>
        </row>
        <row r="211">
          <cell r="N211">
            <v>78</v>
          </cell>
          <cell r="O211">
            <v>5</v>
          </cell>
          <cell r="P211">
            <v>6</v>
          </cell>
          <cell r="Q211">
            <v>4</v>
          </cell>
          <cell r="R211">
            <v>0.49614331465336126</v>
          </cell>
          <cell r="T211">
            <v>1.1185788718036149</v>
          </cell>
          <cell r="U211">
            <v>4.2083376666786312E-2</v>
          </cell>
        </row>
        <row r="212">
          <cell r="N212">
            <v>79</v>
          </cell>
          <cell r="O212">
            <v>3</v>
          </cell>
          <cell r="P212">
            <v>2</v>
          </cell>
          <cell r="Q212">
            <v>6</v>
          </cell>
          <cell r="R212">
            <v>-0.5587199489339657</v>
          </cell>
          <cell r="T212">
            <v>-0.98488418593067284</v>
          </cell>
          <cell r="U212">
            <v>1.1456030314847414</v>
          </cell>
        </row>
        <row r="213">
          <cell r="N213">
            <v>80</v>
          </cell>
          <cell r="O213">
            <v>2</v>
          </cell>
          <cell r="P213">
            <v>1</v>
          </cell>
          <cell r="Q213">
            <v>6</v>
          </cell>
          <cell r="R213">
            <v>-1.0861515807276292</v>
          </cell>
          <cell r="T213">
            <v>-1.5107499503642448</v>
          </cell>
          <cell r="U213">
            <v>1.1456030314847414</v>
          </cell>
        </row>
        <row r="214">
          <cell r="N214">
            <v>81</v>
          </cell>
          <cell r="O214">
            <v>3</v>
          </cell>
          <cell r="P214">
            <v>5</v>
          </cell>
          <cell r="Q214">
            <v>3</v>
          </cell>
          <cell r="R214">
            <v>-0.5587199489339657</v>
          </cell>
          <cell r="T214">
            <v>0.59271310737004301</v>
          </cell>
          <cell r="U214">
            <v>-0.50967645074219126</v>
          </cell>
        </row>
        <row r="215">
          <cell r="N215">
            <v>82</v>
          </cell>
          <cell r="O215">
            <v>7</v>
          </cell>
          <cell r="P215">
            <v>5</v>
          </cell>
          <cell r="Q215">
            <v>3</v>
          </cell>
          <cell r="R215">
            <v>1.5510065782406881</v>
          </cell>
          <cell r="T215">
            <v>0.59271310737004301</v>
          </cell>
          <cell r="U215">
            <v>-0.50967645074219126</v>
          </cell>
        </row>
        <row r="216">
          <cell r="N216">
            <v>83</v>
          </cell>
          <cell r="O216">
            <v>3</v>
          </cell>
          <cell r="P216">
            <v>1</v>
          </cell>
          <cell r="Q216">
            <v>6</v>
          </cell>
          <cell r="R216">
            <v>-0.5587199489339657</v>
          </cell>
          <cell r="T216">
            <v>-1.5107499503642448</v>
          </cell>
          <cell r="U216">
            <v>1.1456030314847414</v>
          </cell>
        </row>
        <row r="217">
          <cell r="N217">
            <v>84</v>
          </cell>
          <cell r="O217">
            <v>7</v>
          </cell>
          <cell r="P217">
            <v>5</v>
          </cell>
          <cell r="Q217">
            <v>3</v>
          </cell>
          <cell r="R217">
            <v>1.5510065782406881</v>
          </cell>
          <cell r="T217">
            <v>0.59271310737004301</v>
          </cell>
          <cell r="U217">
            <v>-0.50967645074219126</v>
          </cell>
        </row>
        <row r="218">
          <cell r="N218">
            <v>85</v>
          </cell>
          <cell r="O218">
            <v>7</v>
          </cell>
          <cell r="P218">
            <v>3</v>
          </cell>
          <cell r="Q218">
            <v>2</v>
          </cell>
          <cell r="R218">
            <v>1.5510065782406881</v>
          </cell>
          <cell r="T218">
            <v>-0.45901842149710087</v>
          </cell>
          <cell r="U218">
            <v>-1.0614362781511688</v>
          </cell>
        </row>
        <row r="219">
          <cell r="N219">
            <v>86</v>
          </cell>
          <cell r="O219">
            <v>3</v>
          </cell>
          <cell r="P219">
            <v>1</v>
          </cell>
          <cell r="Q219">
            <v>5</v>
          </cell>
          <cell r="R219">
            <v>-0.5587199489339657</v>
          </cell>
          <cell r="T219">
            <v>-1.5107499503642448</v>
          </cell>
          <cell r="U219">
            <v>0.59384320407576385</v>
          </cell>
        </row>
        <row r="220">
          <cell r="N220">
            <v>87</v>
          </cell>
          <cell r="O220">
            <v>5</v>
          </cell>
          <cell r="P220">
            <v>5</v>
          </cell>
          <cell r="Q220">
            <v>4</v>
          </cell>
          <cell r="R220">
            <v>0.49614331465336126</v>
          </cell>
          <cell r="T220">
            <v>0.59271310737004301</v>
          </cell>
          <cell r="U220">
            <v>4.2083376666786312E-2</v>
          </cell>
        </row>
        <row r="221">
          <cell r="N221">
            <v>88</v>
          </cell>
          <cell r="O221">
            <v>1</v>
          </cell>
          <cell r="P221">
            <v>1</v>
          </cell>
          <cell r="Q221">
            <v>5</v>
          </cell>
          <cell r="R221">
            <v>-1.6135832125212926</v>
          </cell>
          <cell r="T221">
            <v>-1.5107499503642448</v>
          </cell>
          <cell r="U221">
            <v>0.59384320407576385</v>
          </cell>
        </row>
        <row r="222">
          <cell r="N222">
            <v>89</v>
          </cell>
          <cell r="O222">
            <v>7</v>
          </cell>
          <cell r="P222">
            <v>4</v>
          </cell>
          <cell r="Q222">
            <v>2</v>
          </cell>
          <cell r="R222">
            <v>1.5510065782406881</v>
          </cell>
          <cell r="T222">
            <v>6.6847342936471071E-2</v>
          </cell>
          <cell r="U222">
            <v>-1.0614362781511688</v>
          </cell>
        </row>
        <row r="223">
          <cell r="N223">
            <v>90</v>
          </cell>
          <cell r="O223">
            <v>7</v>
          </cell>
          <cell r="P223">
            <v>3</v>
          </cell>
          <cell r="Q223">
            <v>3</v>
          </cell>
          <cell r="R223">
            <v>1.5510065782406881</v>
          </cell>
          <cell r="T223">
            <v>-0.45901842149710087</v>
          </cell>
          <cell r="U223">
            <v>-0.50967645074219126</v>
          </cell>
        </row>
        <row r="224">
          <cell r="N224">
            <v>91</v>
          </cell>
          <cell r="O224">
            <v>7</v>
          </cell>
          <cell r="P224">
            <v>5</v>
          </cell>
          <cell r="Q224">
            <v>1</v>
          </cell>
          <cell r="R224">
            <v>1.5510065782406881</v>
          </cell>
          <cell r="T224">
            <v>0.59271310737004301</v>
          </cell>
          <cell r="U224">
            <v>-1.6131961055601465</v>
          </cell>
        </row>
        <row r="225">
          <cell r="N225">
            <v>92</v>
          </cell>
          <cell r="O225">
            <v>3</v>
          </cell>
          <cell r="P225">
            <v>6</v>
          </cell>
          <cell r="Q225">
            <v>5</v>
          </cell>
          <cell r="R225">
            <v>-0.5587199489339657</v>
          </cell>
          <cell r="T225">
            <v>1.1185788718036149</v>
          </cell>
          <cell r="U225">
            <v>0.59384320407576385</v>
          </cell>
        </row>
        <row r="226">
          <cell r="N226">
            <v>93</v>
          </cell>
          <cell r="O226">
            <v>3</v>
          </cell>
          <cell r="P226">
            <v>2</v>
          </cell>
          <cell r="Q226">
            <v>5</v>
          </cell>
          <cell r="R226">
            <v>-0.5587199489339657</v>
          </cell>
          <cell r="T226">
            <v>-0.98488418593067284</v>
          </cell>
          <cell r="U226">
            <v>0.59384320407576385</v>
          </cell>
        </row>
        <row r="227">
          <cell r="N227">
            <v>94</v>
          </cell>
          <cell r="O227">
            <v>4</v>
          </cell>
          <cell r="P227">
            <v>7</v>
          </cell>
          <cell r="Q227">
            <v>5</v>
          </cell>
          <cell r="R227">
            <v>-3.1288317140302224E-2</v>
          </cell>
          <cell r="T227">
            <v>1.644444636237187</v>
          </cell>
          <cell r="U227">
            <v>0.59384320407576385</v>
          </cell>
        </row>
        <row r="228">
          <cell r="N228">
            <v>95</v>
          </cell>
          <cell r="O228">
            <v>1</v>
          </cell>
          <cell r="P228">
            <v>1</v>
          </cell>
          <cell r="Q228">
            <v>6</v>
          </cell>
          <cell r="R228">
            <v>-1.6135832125212926</v>
          </cell>
          <cell r="T228">
            <v>-1.5107499503642448</v>
          </cell>
          <cell r="U228">
            <v>1.1456030314847414</v>
          </cell>
        </row>
        <row r="229">
          <cell r="N229">
            <v>96</v>
          </cell>
          <cell r="O229">
            <v>4</v>
          </cell>
          <cell r="P229">
            <v>5</v>
          </cell>
          <cell r="Q229">
            <v>3</v>
          </cell>
          <cell r="R229">
            <v>-3.1288317140302224E-2</v>
          </cell>
          <cell r="T229">
            <v>0.59271310737004301</v>
          </cell>
          <cell r="U229">
            <v>-0.50967645074219126</v>
          </cell>
        </row>
        <row r="230">
          <cell r="N230">
            <v>97</v>
          </cell>
          <cell r="O230">
            <v>7</v>
          </cell>
          <cell r="P230">
            <v>5</v>
          </cell>
          <cell r="Q230">
            <v>1</v>
          </cell>
          <cell r="R230">
            <v>1.5510065782406881</v>
          </cell>
          <cell r="T230">
            <v>0.59271310737004301</v>
          </cell>
          <cell r="U230">
            <v>-1.6131961055601465</v>
          </cell>
        </row>
        <row r="231">
          <cell r="N231">
            <v>98</v>
          </cell>
          <cell r="O231">
            <v>5</v>
          </cell>
          <cell r="P231">
            <v>5</v>
          </cell>
          <cell r="Q231">
            <v>5</v>
          </cell>
          <cell r="R231">
            <v>0.49614331465336126</v>
          </cell>
          <cell r="T231">
            <v>0.59271310737004301</v>
          </cell>
          <cell r="U231">
            <v>0.59384320407576385</v>
          </cell>
        </row>
        <row r="232">
          <cell r="N232">
            <v>99</v>
          </cell>
          <cell r="O232">
            <v>5</v>
          </cell>
          <cell r="P232">
            <v>7</v>
          </cell>
          <cell r="Q232">
            <v>5</v>
          </cell>
          <cell r="R232">
            <v>0.49614331465336126</v>
          </cell>
          <cell r="T232">
            <v>1.644444636237187</v>
          </cell>
          <cell r="U232">
            <v>0.59384320407576385</v>
          </cell>
        </row>
        <row r="233">
          <cell r="N233">
            <v>100</v>
          </cell>
          <cell r="O233">
            <v>6</v>
          </cell>
          <cell r="P233">
            <v>3</v>
          </cell>
          <cell r="Q233">
            <v>1</v>
          </cell>
          <cell r="R233">
            <v>1.0235749464470247</v>
          </cell>
          <cell r="T233">
            <v>-0.45901842149710087</v>
          </cell>
          <cell r="U233">
            <v>-1.6131961055601465</v>
          </cell>
        </row>
        <row r="234">
          <cell r="N234">
            <v>101</v>
          </cell>
          <cell r="O234">
            <v>1</v>
          </cell>
          <cell r="P234">
            <v>3</v>
          </cell>
          <cell r="Q234">
            <v>5</v>
          </cell>
          <cell r="R234">
            <v>-1.6135832125212926</v>
          </cell>
          <cell r="T234">
            <v>-0.45901842149710087</v>
          </cell>
          <cell r="U234">
            <v>0.59384320407576385</v>
          </cell>
        </row>
        <row r="235">
          <cell r="N235">
            <v>102</v>
          </cell>
          <cell r="O235">
            <v>2</v>
          </cell>
          <cell r="P235">
            <v>1</v>
          </cell>
          <cell r="Q235">
            <v>6</v>
          </cell>
          <cell r="R235">
            <v>-1.0861515807276292</v>
          </cell>
          <cell r="T235">
            <v>-1.5107499503642448</v>
          </cell>
          <cell r="U235">
            <v>1.1456030314847414</v>
          </cell>
        </row>
        <row r="236">
          <cell r="N236">
            <v>103</v>
          </cell>
          <cell r="O236">
            <v>1</v>
          </cell>
          <cell r="P236">
            <v>3</v>
          </cell>
          <cell r="Q236">
            <v>5</v>
          </cell>
          <cell r="R236">
            <v>-1.6135832125212926</v>
          </cell>
          <cell r="T236">
            <v>-0.45901842149710087</v>
          </cell>
          <cell r="U236">
            <v>0.59384320407576385</v>
          </cell>
        </row>
        <row r="237">
          <cell r="N237">
            <v>104</v>
          </cell>
          <cell r="O237">
            <v>5</v>
          </cell>
          <cell r="P237">
            <v>4</v>
          </cell>
          <cell r="Q237">
            <v>1</v>
          </cell>
          <cell r="R237">
            <v>0.49614331465336126</v>
          </cell>
          <cell r="T237">
            <v>6.6847342936471071E-2</v>
          </cell>
          <cell r="U237">
            <v>-1.6131961055601465</v>
          </cell>
        </row>
        <row r="238">
          <cell r="N238">
            <v>105</v>
          </cell>
          <cell r="O238">
            <v>6</v>
          </cell>
          <cell r="P238">
            <v>5</v>
          </cell>
          <cell r="Q238">
            <v>3</v>
          </cell>
          <cell r="R238">
            <v>1.0235749464470247</v>
          </cell>
          <cell r="T238">
            <v>0.59271310737004301</v>
          </cell>
          <cell r="U238">
            <v>-0.50967645074219126</v>
          </cell>
        </row>
        <row r="239">
          <cell r="N239">
            <v>106</v>
          </cell>
          <cell r="O239">
            <v>7</v>
          </cell>
          <cell r="P239">
            <v>3</v>
          </cell>
          <cell r="Q239">
            <v>3</v>
          </cell>
          <cell r="R239">
            <v>1.5510065782406881</v>
          </cell>
          <cell r="T239">
            <v>-0.45901842149710087</v>
          </cell>
          <cell r="U239">
            <v>-0.50967645074219126</v>
          </cell>
        </row>
        <row r="240">
          <cell r="N240">
            <v>107</v>
          </cell>
          <cell r="O240">
            <v>1</v>
          </cell>
          <cell r="P240">
            <v>2</v>
          </cell>
          <cell r="Q240">
            <v>6</v>
          </cell>
          <cell r="R240">
            <v>-1.6135832125212926</v>
          </cell>
          <cell r="T240">
            <v>-0.98488418593067284</v>
          </cell>
          <cell r="U240">
            <v>1.1456030314847414</v>
          </cell>
        </row>
        <row r="241">
          <cell r="N241">
            <v>108</v>
          </cell>
          <cell r="O241">
            <v>7</v>
          </cell>
          <cell r="P241">
            <v>4</v>
          </cell>
          <cell r="Q241">
            <v>3</v>
          </cell>
          <cell r="R241">
            <v>1.5510065782406881</v>
          </cell>
          <cell r="T241">
            <v>6.6847342936471071E-2</v>
          </cell>
          <cell r="U241">
            <v>-0.50967645074219126</v>
          </cell>
        </row>
        <row r="242">
          <cell r="N242">
            <v>109</v>
          </cell>
          <cell r="O242">
            <v>3</v>
          </cell>
          <cell r="P242">
            <v>3</v>
          </cell>
          <cell r="Q242">
            <v>6</v>
          </cell>
          <cell r="R242">
            <v>-0.5587199489339657</v>
          </cell>
          <cell r="T242">
            <v>-0.45901842149710087</v>
          </cell>
          <cell r="U242">
            <v>1.1456030314847414</v>
          </cell>
        </row>
        <row r="243">
          <cell r="N243">
            <v>110</v>
          </cell>
          <cell r="O243">
            <v>2</v>
          </cell>
          <cell r="P243">
            <v>2</v>
          </cell>
          <cell r="Q243">
            <v>5</v>
          </cell>
          <cell r="R243">
            <v>-1.0861515807276292</v>
          </cell>
          <cell r="T243">
            <v>-0.98488418593067284</v>
          </cell>
          <cell r="U243">
            <v>0.59384320407576385</v>
          </cell>
        </row>
        <row r="244">
          <cell r="N244">
            <v>111</v>
          </cell>
          <cell r="O244">
            <v>7</v>
          </cell>
          <cell r="P244">
            <v>3</v>
          </cell>
          <cell r="Q244">
            <v>2</v>
          </cell>
          <cell r="R244">
            <v>1.5510065782406881</v>
          </cell>
          <cell r="T244">
            <v>-0.45901842149710087</v>
          </cell>
          <cell r="U244">
            <v>-1.0614362781511688</v>
          </cell>
        </row>
        <row r="245">
          <cell r="N245">
            <v>112</v>
          </cell>
          <cell r="O245">
            <v>5</v>
          </cell>
          <cell r="P245">
            <v>7</v>
          </cell>
          <cell r="Q245">
            <v>3</v>
          </cell>
          <cell r="R245">
            <v>0.49614331465336126</v>
          </cell>
          <cell r="T245">
            <v>1.644444636237187</v>
          </cell>
          <cell r="U245">
            <v>-0.50967645074219126</v>
          </cell>
        </row>
        <row r="246">
          <cell r="N246">
            <v>113</v>
          </cell>
          <cell r="O246">
            <v>5</v>
          </cell>
          <cell r="P246">
            <v>3</v>
          </cell>
          <cell r="Q246">
            <v>2</v>
          </cell>
          <cell r="R246">
            <v>0.49614331465336126</v>
          </cell>
          <cell r="T246">
            <v>-0.45901842149710087</v>
          </cell>
          <cell r="U246">
            <v>-1.0614362781511688</v>
          </cell>
        </row>
        <row r="247">
          <cell r="N247">
            <v>114</v>
          </cell>
          <cell r="O247">
            <v>3</v>
          </cell>
          <cell r="P247">
            <v>7</v>
          </cell>
          <cell r="Q247">
            <v>5</v>
          </cell>
          <cell r="R247">
            <v>-0.5587199489339657</v>
          </cell>
          <cell r="T247">
            <v>1.644444636237187</v>
          </cell>
          <cell r="U247">
            <v>0.59384320407576385</v>
          </cell>
        </row>
        <row r="248">
          <cell r="N248">
            <v>115</v>
          </cell>
          <cell r="O248">
            <v>5</v>
          </cell>
          <cell r="P248">
            <v>5</v>
          </cell>
          <cell r="Q248">
            <v>1</v>
          </cell>
          <cell r="R248">
            <v>0.49614331465336126</v>
          </cell>
          <cell r="T248">
            <v>0.59271310737004301</v>
          </cell>
          <cell r="U248">
            <v>-1.6131961055601465</v>
          </cell>
        </row>
        <row r="249">
          <cell r="N249">
            <v>116</v>
          </cell>
          <cell r="O249">
            <v>1</v>
          </cell>
          <cell r="P249">
            <v>3</v>
          </cell>
          <cell r="Q249">
            <v>6</v>
          </cell>
          <cell r="R249">
            <v>-1.6135832125212926</v>
          </cell>
          <cell r="T249">
            <v>-0.45901842149710087</v>
          </cell>
          <cell r="U249">
            <v>1.1456030314847414</v>
          </cell>
        </row>
        <row r="250">
          <cell r="N250">
            <v>117</v>
          </cell>
          <cell r="O250">
            <v>6</v>
          </cell>
          <cell r="P250">
            <v>4</v>
          </cell>
          <cell r="Q250">
            <v>2</v>
          </cell>
          <cell r="R250">
            <v>1.0235749464470247</v>
          </cell>
          <cell r="T250">
            <v>6.6847342936471071E-2</v>
          </cell>
          <cell r="U250">
            <v>-1.0614362781511688</v>
          </cell>
        </row>
        <row r="251">
          <cell r="N251">
            <v>118</v>
          </cell>
          <cell r="O251">
            <v>5</v>
          </cell>
          <cell r="P251">
            <v>3</v>
          </cell>
          <cell r="Q251">
            <v>2</v>
          </cell>
          <cell r="R251">
            <v>0.49614331465336126</v>
          </cell>
          <cell r="T251">
            <v>-0.45901842149710087</v>
          </cell>
          <cell r="U251">
            <v>-1.0614362781511688</v>
          </cell>
        </row>
        <row r="268">
          <cell r="A268" t="str">
            <v>Customer</v>
          </cell>
          <cell r="B268" t="str">
            <v>Soap Ingredience</v>
          </cell>
          <cell r="C268" t="str">
            <v>Soap Fragrance</v>
          </cell>
          <cell r="D268" t="str">
            <v>Color Options</v>
          </cell>
          <cell r="E268" t="str">
            <v>z Ingredients</v>
          </cell>
          <cell r="F268" t="str">
            <v>z Fragrance</v>
          </cell>
          <cell r="G268" t="str">
            <v>z Color</v>
          </cell>
        </row>
        <row r="269">
          <cell r="A269">
            <v>1</v>
          </cell>
          <cell r="B269">
            <v>5</v>
          </cell>
          <cell r="C269">
            <v>5</v>
          </cell>
          <cell r="D269">
            <v>2</v>
          </cell>
          <cell r="E269">
            <v>0.49614331465336126</v>
          </cell>
          <cell r="F269">
            <v>0.59271310737004301</v>
          </cell>
          <cell r="G269">
            <v>-1.0614362781511688</v>
          </cell>
        </row>
        <row r="270">
          <cell r="A270">
            <v>2</v>
          </cell>
          <cell r="B270">
            <v>7</v>
          </cell>
          <cell r="C270">
            <v>5</v>
          </cell>
          <cell r="D270">
            <v>1</v>
          </cell>
          <cell r="E270">
            <v>1.5510065782406881</v>
          </cell>
          <cell r="F270">
            <v>0.59271310737004301</v>
          </cell>
          <cell r="G270">
            <v>-1.6131961055601465</v>
          </cell>
        </row>
        <row r="271">
          <cell r="A271">
            <v>3</v>
          </cell>
          <cell r="B271">
            <v>3</v>
          </cell>
          <cell r="C271">
            <v>5</v>
          </cell>
          <cell r="D271">
            <v>4</v>
          </cell>
          <cell r="E271">
            <v>-0.5587199489339657</v>
          </cell>
          <cell r="F271">
            <v>0.59271310737004301</v>
          </cell>
          <cell r="G271">
            <v>4.2083376666786312E-2</v>
          </cell>
        </row>
        <row r="272">
          <cell r="A272">
            <v>4</v>
          </cell>
          <cell r="B272">
            <v>4</v>
          </cell>
          <cell r="C272">
            <v>5</v>
          </cell>
          <cell r="D272">
            <v>4</v>
          </cell>
          <cell r="E272">
            <v>-3.1288317140302224E-2</v>
          </cell>
          <cell r="F272">
            <v>0.59271310737004301</v>
          </cell>
          <cell r="G272">
            <v>4.2083376666786312E-2</v>
          </cell>
        </row>
        <row r="273">
          <cell r="A273">
            <v>5</v>
          </cell>
          <cell r="B273">
            <v>6</v>
          </cell>
          <cell r="C273">
            <v>5</v>
          </cell>
          <cell r="D273">
            <v>2</v>
          </cell>
          <cell r="E273">
            <v>1.0235749464470247</v>
          </cell>
          <cell r="F273">
            <v>0.59271310737004301</v>
          </cell>
          <cell r="G273">
            <v>-1.0614362781511688</v>
          </cell>
        </row>
        <row r="274">
          <cell r="A274">
            <v>6</v>
          </cell>
          <cell r="B274">
            <v>5</v>
          </cell>
          <cell r="C274">
            <v>6</v>
          </cell>
          <cell r="D274">
            <v>5</v>
          </cell>
          <cell r="E274">
            <v>0.49614331465336126</v>
          </cell>
          <cell r="F274">
            <v>1.1185788718036149</v>
          </cell>
          <cell r="G274">
            <v>0.59384320407576385</v>
          </cell>
        </row>
        <row r="275">
          <cell r="A275">
            <v>7</v>
          </cell>
          <cell r="B275">
            <v>3</v>
          </cell>
          <cell r="C275">
            <v>1</v>
          </cell>
          <cell r="D275">
            <v>7</v>
          </cell>
          <cell r="E275">
            <v>-0.5587199489339657</v>
          </cell>
          <cell r="F275">
            <v>-1.5107499503642448</v>
          </cell>
          <cell r="G275">
            <v>1.6973628588937191</v>
          </cell>
        </row>
        <row r="276">
          <cell r="A276">
            <v>8</v>
          </cell>
          <cell r="B276">
            <v>6</v>
          </cell>
          <cell r="C276">
            <v>3</v>
          </cell>
          <cell r="D276">
            <v>2</v>
          </cell>
          <cell r="E276">
            <v>1.0235749464470247</v>
          </cell>
          <cell r="F276">
            <v>-0.45901842149710087</v>
          </cell>
          <cell r="G276">
            <v>-1.0614362781511688</v>
          </cell>
        </row>
        <row r="277">
          <cell r="A277">
            <v>9</v>
          </cell>
          <cell r="B277">
            <v>7</v>
          </cell>
          <cell r="C277">
            <v>5</v>
          </cell>
          <cell r="D277">
            <v>3</v>
          </cell>
          <cell r="E277">
            <v>1.5510065782406881</v>
          </cell>
          <cell r="F277">
            <v>0.59271310737004301</v>
          </cell>
          <cell r="G277">
            <v>-0.50967645074219126</v>
          </cell>
        </row>
        <row r="278">
          <cell r="A278">
            <v>10</v>
          </cell>
          <cell r="B278">
            <v>5</v>
          </cell>
          <cell r="C278">
            <v>3</v>
          </cell>
          <cell r="D278">
            <v>2</v>
          </cell>
          <cell r="E278">
            <v>0.49614331465336126</v>
          </cell>
          <cell r="F278">
            <v>-0.45901842149710087</v>
          </cell>
          <cell r="G278">
            <v>-1.0614362781511688</v>
          </cell>
        </row>
        <row r="279">
          <cell r="A279">
            <v>11</v>
          </cell>
          <cell r="B279">
            <v>5</v>
          </cell>
          <cell r="C279">
            <v>6</v>
          </cell>
          <cell r="D279">
            <v>4</v>
          </cell>
          <cell r="E279">
            <v>0.49614331465336126</v>
          </cell>
          <cell r="F279">
            <v>1.1185788718036149</v>
          </cell>
          <cell r="G279">
            <v>4.2083376666786312E-2</v>
          </cell>
        </row>
        <row r="280">
          <cell r="A280">
            <v>12</v>
          </cell>
          <cell r="B280">
            <v>3</v>
          </cell>
          <cell r="C280">
            <v>7</v>
          </cell>
          <cell r="D280">
            <v>5</v>
          </cell>
          <cell r="E280">
            <v>-0.5587199489339657</v>
          </cell>
          <cell r="F280">
            <v>1.644444636237187</v>
          </cell>
          <cell r="G280">
            <v>0.59384320407576385</v>
          </cell>
        </row>
        <row r="281">
          <cell r="A281">
            <v>13</v>
          </cell>
          <cell r="B281">
            <v>2</v>
          </cell>
          <cell r="C281">
            <v>3</v>
          </cell>
          <cell r="D281">
            <v>7</v>
          </cell>
          <cell r="E281">
            <v>-1.0861515807276292</v>
          </cell>
          <cell r="F281">
            <v>-0.45901842149710087</v>
          </cell>
          <cell r="G281">
            <v>1.6973628588937191</v>
          </cell>
        </row>
        <row r="282">
          <cell r="A282">
            <v>14</v>
          </cell>
          <cell r="B282">
            <v>3</v>
          </cell>
          <cell r="C282">
            <v>7</v>
          </cell>
          <cell r="D282">
            <v>5</v>
          </cell>
          <cell r="E282">
            <v>-0.5587199489339657</v>
          </cell>
          <cell r="F282">
            <v>1.644444636237187</v>
          </cell>
          <cell r="G282">
            <v>0.59384320407576385</v>
          </cell>
        </row>
        <row r="283">
          <cell r="A283">
            <v>15</v>
          </cell>
          <cell r="B283">
            <v>5</v>
          </cell>
          <cell r="C283">
            <v>6</v>
          </cell>
          <cell r="D283">
            <v>5</v>
          </cell>
          <cell r="E283">
            <v>0.49614331465336126</v>
          </cell>
          <cell r="F283">
            <v>1.1185788718036149</v>
          </cell>
          <cell r="G283">
            <v>0.59384320407576385</v>
          </cell>
        </row>
        <row r="284">
          <cell r="A284">
            <v>16</v>
          </cell>
          <cell r="B284">
            <v>5</v>
          </cell>
          <cell r="C284">
            <v>5</v>
          </cell>
          <cell r="D284">
            <v>1</v>
          </cell>
          <cell r="E284">
            <v>0.49614331465336126</v>
          </cell>
          <cell r="F284">
            <v>0.59271310737004301</v>
          </cell>
          <cell r="G284">
            <v>-1.6131961055601465</v>
          </cell>
        </row>
        <row r="285">
          <cell r="A285">
            <v>17</v>
          </cell>
          <cell r="B285">
            <v>4</v>
          </cell>
          <cell r="C285">
            <v>7</v>
          </cell>
          <cell r="D285">
            <v>5</v>
          </cell>
          <cell r="E285">
            <v>-3.1288317140302224E-2</v>
          </cell>
          <cell r="F285">
            <v>1.644444636237187</v>
          </cell>
          <cell r="G285">
            <v>0.59384320407576385</v>
          </cell>
        </row>
        <row r="286">
          <cell r="A286">
            <v>18</v>
          </cell>
          <cell r="B286">
            <v>4</v>
          </cell>
          <cell r="C286">
            <v>6</v>
          </cell>
          <cell r="D286">
            <v>5</v>
          </cell>
          <cell r="E286">
            <v>-3.1288317140302224E-2</v>
          </cell>
          <cell r="F286">
            <v>1.1185788718036149</v>
          </cell>
          <cell r="G286">
            <v>0.59384320407576385</v>
          </cell>
        </row>
        <row r="287">
          <cell r="A287">
            <v>19</v>
          </cell>
          <cell r="B287">
            <v>3</v>
          </cell>
          <cell r="C287">
            <v>5</v>
          </cell>
          <cell r="D287">
            <v>3</v>
          </cell>
          <cell r="E287">
            <v>-0.5587199489339657</v>
          </cell>
          <cell r="F287">
            <v>0.59271310737004301</v>
          </cell>
          <cell r="G287">
            <v>-0.50967645074219126</v>
          </cell>
        </row>
        <row r="288">
          <cell r="A288">
            <v>20</v>
          </cell>
          <cell r="B288">
            <v>1</v>
          </cell>
          <cell r="C288">
            <v>1</v>
          </cell>
          <cell r="D288">
            <v>7</v>
          </cell>
          <cell r="E288">
            <v>-1.6135832125212926</v>
          </cell>
          <cell r="F288">
            <v>-1.5107499503642448</v>
          </cell>
          <cell r="G288">
            <v>1.6973628588937191</v>
          </cell>
        </row>
        <row r="289">
          <cell r="A289">
            <v>21</v>
          </cell>
          <cell r="B289">
            <v>3</v>
          </cell>
          <cell r="C289">
            <v>1</v>
          </cell>
          <cell r="D289">
            <v>5</v>
          </cell>
          <cell r="E289">
            <v>-0.5587199489339657</v>
          </cell>
          <cell r="F289">
            <v>-1.5107499503642448</v>
          </cell>
          <cell r="G289">
            <v>0.59384320407576385</v>
          </cell>
        </row>
        <row r="290">
          <cell r="A290">
            <v>22</v>
          </cell>
          <cell r="B290">
            <v>4</v>
          </cell>
          <cell r="C290">
            <v>7</v>
          </cell>
          <cell r="D290">
            <v>3</v>
          </cell>
          <cell r="E290">
            <v>-3.1288317140302224E-2</v>
          </cell>
          <cell r="F290">
            <v>1.644444636237187</v>
          </cell>
          <cell r="G290">
            <v>-0.50967645074219126</v>
          </cell>
        </row>
        <row r="291">
          <cell r="A291">
            <v>23</v>
          </cell>
          <cell r="B291">
            <v>5</v>
          </cell>
          <cell r="C291">
            <v>5</v>
          </cell>
          <cell r="D291">
            <v>4</v>
          </cell>
          <cell r="E291">
            <v>0.49614331465336126</v>
          </cell>
          <cell r="F291">
            <v>0.59271310737004301</v>
          </cell>
          <cell r="G291">
            <v>4.2083376666786312E-2</v>
          </cell>
        </row>
        <row r="292">
          <cell r="A292">
            <v>24</v>
          </cell>
          <cell r="B292">
            <v>6</v>
          </cell>
          <cell r="C292">
            <v>3</v>
          </cell>
          <cell r="D292">
            <v>3</v>
          </cell>
          <cell r="E292">
            <v>1.0235749464470247</v>
          </cell>
          <cell r="F292">
            <v>-0.45901842149710087</v>
          </cell>
          <cell r="G292">
            <v>-0.50967645074219126</v>
          </cell>
        </row>
        <row r="293">
          <cell r="A293">
            <v>25</v>
          </cell>
          <cell r="B293">
            <v>3</v>
          </cell>
          <cell r="C293">
            <v>2</v>
          </cell>
          <cell r="D293">
            <v>5</v>
          </cell>
          <cell r="E293">
            <v>-0.5587199489339657</v>
          </cell>
          <cell r="F293">
            <v>-0.98488418593067284</v>
          </cell>
          <cell r="G293">
            <v>0.59384320407576385</v>
          </cell>
        </row>
        <row r="294">
          <cell r="A294">
            <v>26</v>
          </cell>
          <cell r="B294">
            <v>3</v>
          </cell>
          <cell r="C294">
            <v>2</v>
          </cell>
          <cell r="D294">
            <v>5</v>
          </cell>
          <cell r="E294">
            <v>-0.5587199489339657</v>
          </cell>
          <cell r="F294">
            <v>-0.98488418593067284</v>
          </cell>
          <cell r="G294">
            <v>0.59384320407576385</v>
          </cell>
        </row>
        <row r="295">
          <cell r="A295">
            <v>27</v>
          </cell>
          <cell r="B295">
            <v>2</v>
          </cell>
          <cell r="C295">
            <v>2</v>
          </cell>
          <cell r="D295">
            <v>7</v>
          </cell>
          <cell r="E295">
            <v>-1.0861515807276292</v>
          </cell>
          <cell r="F295">
            <v>-0.98488418593067284</v>
          </cell>
          <cell r="G295">
            <v>1.6973628588937191</v>
          </cell>
        </row>
        <row r="296">
          <cell r="A296">
            <v>28</v>
          </cell>
          <cell r="B296">
            <v>5</v>
          </cell>
          <cell r="C296">
            <v>5</v>
          </cell>
          <cell r="D296">
            <v>3</v>
          </cell>
          <cell r="E296">
            <v>0.49614331465336126</v>
          </cell>
          <cell r="F296">
            <v>0.59271310737004301</v>
          </cell>
          <cell r="G296">
            <v>-0.50967645074219126</v>
          </cell>
        </row>
        <row r="297">
          <cell r="A297">
            <v>29</v>
          </cell>
          <cell r="B297">
            <v>3</v>
          </cell>
          <cell r="C297">
            <v>2</v>
          </cell>
          <cell r="D297">
            <v>7</v>
          </cell>
          <cell r="E297">
            <v>-0.5587199489339657</v>
          </cell>
          <cell r="F297">
            <v>-0.98488418593067284</v>
          </cell>
          <cell r="G297">
            <v>1.6973628588937191</v>
          </cell>
        </row>
        <row r="298">
          <cell r="A298">
            <v>30</v>
          </cell>
          <cell r="B298">
            <v>2</v>
          </cell>
          <cell r="C298">
            <v>1</v>
          </cell>
          <cell r="D298">
            <v>5</v>
          </cell>
          <cell r="E298">
            <v>-1.0861515807276292</v>
          </cell>
          <cell r="F298">
            <v>-1.5107499503642448</v>
          </cell>
          <cell r="G298">
            <v>0.59384320407576385</v>
          </cell>
        </row>
        <row r="299">
          <cell r="A299">
            <v>31</v>
          </cell>
          <cell r="B299">
            <v>5</v>
          </cell>
          <cell r="C299">
            <v>5</v>
          </cell>
          <cell r="D299">
            <v>4</v>
          </cell>
          <cell r="E299">
            <v>0.49614331465336126</v>
          </cell>
          <cell r="F299">
            <v>0.59271310737004301</v>
          </cell>
          <cell r="G299">
            <v>4.2083376666786312E-2</v>
          </cell>
        </row>
        <row r="300">
          <cell r="A300">
            <v>32</v>
          </cell>
          <cell r="B300">
            <v>6</v>
          </cell>
          <cell r="C300">
            <v>3</v>
          </cell>
          <cell r="D300">
            <v>2</v>
          </cell>
          <cell r="E300">
            <v>1.0235749464470247</v>
          </cell>
          <cell r="F300">
            <v>-0.45901842149710087</v>
          </cell>
          <cell r="G300">
            <v>-1.0614362781511688</v>
          </cell>
        </row>
        <row r="301">
          <cell r="A301">
            <v>33</v>
          </cell>
          <cell r="B301">
            <v>5</v>
          </cell>
          <cell r="C301">
            <v>7</v>
          </cell>
          <cell r="D301">
            <v>5</v>
          </cell>
          <cell r="E301">
            <v>0.49614331465336126</v>
          </cell>
          <cell r="F301">
            <v>1.644444636237187</v>
          </cell>
          <cell r="G301">
            <v>0.59384320407576385</v>
          </cell>
        </row>
        <row r="302">
          <cell r="A302">
            <v>34</v>
          </cell>
          <cell r="B302">
            <v>5</v>
          </cell>
          <cell r="C302">
            <v>4</v>
          </cell>
          <cell r="D302">
            <v>1</v>
          </cell>
          <cell r="E302">
            <v>0.49614331465336126</v>
          </cell>
          <cell r="F302">
            <v>6.6847342936471071E-2</v>
          </cell>
          <cell r="G302">
            <v>-1.6131961055601465</v>
          </cell>
        </row>
        <row r="303">
          <cell r="A303">
            <v>35</v>
          </cell>
          <cell r="B303">
            <v>2</v>
          </cell>
          <cell r="C303">
            <v>2</v>
          </cell>
          <cell r="D303">
            <v>7</v>
          </cell>
          <cell r="E303">
            <v>-1.0861515807276292</v>
          </cell>
          <cell r="F303">
            <v>-0.98488418593067284</v>
          </cell>
          <cell r="G303">
            <v>1.6973628588937191</v>
          </cell>
        </row>
        <row r="304">
          <cell r="A304">
            <v>36</v>
          </cell>
          <cell r="B304">
            <v>1</v>
          </cell>
          <cell r="C304">
            <v>1</v>
          </cell>
          <cell r="D304">
            <v>6</v>
          </cell>
          <cell r="E304">
            <v>-1.6135832125212926</v>
          </cell>
          <cell r="F304">
            <v>-1.5107499503642448</v>
          </cell>
          <cell r="G304">
            <v>1.1456030314847414</v>
          </cell>
        </row>
        <row r="305">
          <cell r="A305">
            <v>37</v>
          </cell>
          <cell r="B305">
            <v>3</v>
          </cell>
          <cell r="C305">
            <v>1</v>
          </cell>
          <cell r="D305">
            <v>5</v>
          </cell>
          <cell r="E305">
            <v>-0.5587199489339657</v>
          </cell>
          <cell r="F305">
            <v>-1.5107499503642448</v>
          </cell>
          <cell r="G305">
            <v>0.59384320407576385</v>
          </cell>
        </row>
        <row r="306">
          <cell r="A306">
            <v>38</v>
          </cell>
          <cell r="B306">
            <v>3</v>
          </cell>
          <cell r="C306">
            <v>6</v>
          </cell>
          <cell r="D306">
            <v>3</v>
          </cell>
          <cell r="E306">
            <v>-0.5587199489339657</v>
          </cell>
          <cell r="F306">
            <v>1.1185788718036149</v>
          </cell>
          <cell r="G306">
            <v>-0.50967645074219126</v>
          </cell>
        </row>
        <row r="307">
          <cell r="A307">
            <v>39</v>
          </cell>
          <cell r="B307">
            <v>5</v>
          </cell>
          <cell r="C307">
            <v>7</v>
          </cell>
          <cell r="D307">
            <v>5</v>
          </cell>
          <cell r="E307">
            <v>0.49614331465336126</v>
          </cell>
          <cell r="F307">
            <v>1.644444636237187</v>
          </cell>
          <cell r="G307">
            <v>0.59384320407576385</v>
          </cell>
        </row>
        <row r="308">
          <cell r="A308">
            <v>40</v>
          </cell>
          <cell r="B308">
            <v>3</v>
          </cell>
          <cell r="C308">
            <v>2</v>
          </cell>
          <cell r="D308">
            <v>6</v>
          </cell>
          <cell r="E308">
            <v>-0.5587199489339657</v>
          </cell>
          <cell r="F308">
            <v>-0.98488418593067284</v>
          </cell>
          <cell r="G308">
            <v>1.1456030314847414</v>
          </cell>
        </row>
        <row r="309">
          <cell r="A309">
            <v>41</v>
          </cell>
          <cell r="B309">
            <v>5</v>
          </cell>
          <cell r="C309">
            <v>3</v>
          </cell>
          <cell r="D309">
            <v>3</v>
          </cell>
          <cell r="E309">
            <v>0.49614331465336126</v>
          </cell>
          <cell r="F309">
            <v>-0.45901842149710087</v>
          </cell>
          <cell r="G309">
            <v>-0.50967645074219126</v>
          </cell>
        </row>
        <row r="310">
          <cell r="A310">
            <v>42</v>
          </cell>
          <cell r="B310">
            <v>3</v>
          </cell>
          <cell r="C310">
            <v>6</v>
          </cell>
          <cell r="D310">
            <v>3</v>
          </cell>
          <cell r="E310">
            <v>-0.5587199489339657</v>
          </cell>
          <cell r="F310">
            <v>1.1185788718036149</v>
          </cell>
          <cell r="G310">
            <v>-0.50967645074219126</v>
          </cell>
        </row>
        <row r="311">
          <cell r="A311">
            <v>43</v>
          </cell>
          <cell r="B311">
            <v>4</v>
          </cell>
          <cell r="C311">
            <v>6</v>
          </cell>
          <cell r="D311">
            <v>5</v>
          </cell>
          <cell r="E311">
            <v>-3.1288317140302224E-2</v>
          </cell>
          <cell r="F311">
            <v>1.1185788718036149</v>
          </cell>
          <cell r="G311">
            <v>0.59384320407576385</v>
          </cell>
        </row>
        <row r="312">
          <cell r="A312">
            <v>44</v>
          </cell>
          <cell r="B312">
            <v>7</v>
          </cell>
          <cell r="C312">
            <v>4</v>
          </cell>
          <cell r="D312">
            <v>2</v>
          </cell>
          <cell r="E312">
            <v>1.5510065782406881</v>
          </cell>
          <cell r="F312">
            <v>6.6847342936471071E-2</v>
          </cell>
          <cell r="G312">
            <v>-1.0614362781511688</v>
          </cell>
        </row>
        <row r="313">
          <cell r="A313">
            <v>45</v>
          </cell>
          <cell r="B313">
            <v>4</v>
          </cell>
          <cell r="C313">
            <v>6</v>
          </cell>
          <cell r="D313">
            <v>3</v>
          </cell>
          <cell r="E313">
            <v>-3.1288317140302224E-2</v>
          </cell>
          <cell r="F313">
            <v>1.1185788718036149</v>
          </cell>
          <cell r="G313">
            <v>-0.50967645074219126</v>
          </cell>
        </row>
        <row r="314">
          <cell r="A314">
            <v>46</v>
          </cell>
          <cell r="B314">
            <v>4</v>
          </cell>
          <cell r="C314">
            <v>7</v>
          </cell>
          <cell r="D314">
            <v>4</v>
          </cell>
          <cell r="E314">
            <v>-3.1288317140302224E-2</v>
          </cell>
          <cell r="F314">
            <v>1.644444636237187</v>
          </cell>
          <cell r="G314">
            <v>4.2083376666786312E-2</v>
          </cell>
        </row>
        <row r="315">
          <cell r="A315">
            <v>47</v>
          </cell>
          <cell r="B315">
            <v>2</v>
          </cell>
          <cell r="C315">
            <v>3</v>
          </cell>
          <cell r="D315">
            <v>5</v>
          </cell>
          <cell r="E315">
            <v>-1.0861515807276292</v>
          </cell>
          <cell r="F315">
            <v>-0.45901842149710087</v>
          </cell>
          <cell r="G315">
            <v>0.59384320407576385</v>
          </cell>
        </row>
        <row r="316">
          <cell r="A316">
            <v>48</v>
          </cell>
          <cell r="B316">
            <v>7</v>
          </cell>
          <cell r="C316">
            <v>3</v>
          </cell>
          <cell r="D316">
            <v>1</v>
          </cell>
          <cell r="E316">
            <v>1.5510065782406881</v>
          </cell>
          <cell r="F316">
            <v>-0.45901842149710087</v>
          </cell>
          <cell r="G316">
            <v>-1.6131961055601465</v>
          </cell>
        </row>
        <row r="317">
          <cell r="A317">
            <v>49</v>
          </cell>
          <cell r="B317">
            <v>2</v>
          </cell>
          <cell r="C317">
            <v>2</v>
          </cell>
          <cell r="D317">
            <v>5</v>
          </cell>
          <cell r="E317">
            <v>-1.0861515807276292</v>
          </cell>
          <cell r="F317">
            <v>-0.98488418593067284</v>
          </cell>
          <cell r="G317">
            <v>0.59384320407576385</v>
          </cell>
        </row>
        <row r="318">
          <cell r="A318">
            <v>50</v>
          </cell>
          <cell r="B318">
            <v>5</v>
          </cell>
          <cell r="C318">
            <v>3</v>
          </cell>
          <cell r="D318">
            <v>3</v>
          </cell>
          <cell r="E318">
            <v>0.49614331465336126</v>
          </cell>
          <cell r="F318">
            <v>-0.45901842149710087</v>
          </cell>
          <cell r="G318">
            <v>-0.50967645074219126</v>
          </cell>
        </row>
        <row r="319">
          <cell r="A319">
            <v>51</v>
          </cell>
          <cell r="B319">
            <v>3</v>
          </cell>
          <cell r="C319">
            <v>3</v>
          </cell>
          <cell r="D319">
            <v>7</v>
          </cell>
          <cell r="E319">
            <v>-0.5587199489339657</v>
          </cell>
          <cell r="F319">
            <v>-0.45901842149710087</v>
          </cell>
          <cell r="G319">
            <v>1.6973628588937191</v>
          </cell>
        </row>
        <row r="320">
          <cell r="A320">
            <v>52</v>
          </cell>
          <cell r="B320">
            <v>4</v>
          </cell>
          <cell r="C320">
            <v>6</v>
          </cell>
          <cell r="D320">
            <v>5</v>
          </cell>
          <cell r="E320">
            <v>-3.1288317140302224E-2</v>
          </cell>
          <cell r="F320">
            <v>1.1185788718036149</v>
          </cell>
          <cell r="G320">
            <v>0.59384320407576385</v>
          </cell>
        </row>
        <row r="321">
          <cell r="A321">
            <v>53</v>
          </cell>
          <cell r="B321">
            <v>6</v>
          </cell>
          <cell r="C321">
            <v>3</v>
          </cell>
          <cell r="D321">
            <v>2</v>
          </cell>
          <cell r="E321">
            <v>1.0235749464470247</v>
          </cell>
          <cell r="F321">
            <v>-0.45901842149710087</v>
          </cell>
          <cell r="G321">
            <v>-1.0614362781511688</v>
          </cell>
        </row>
        <row r="322">
          <cell r="A322">
            <v>54</v>
          </cell>
          <cell r="B322">
            <v>4</v>
          </cell>
          <cell r="C322">
            <v>7</v>
          </cell>
          <cell r="D322">
            <v>4</v>
          </cell>
          <cell r="E322">
            <v>-3.1288317140302224E-2</v>
          </cell>
          <cell r="F322">
            <v>1.644444636237187</v>
          </cell>
          <cell r="G322">
            <v>4.2083376666786312E-2</v>
          </cell>
        </row>
        <row r="323">
          <cell r="A323">
            <v>55</v>
          </cell>
          <cell r="B323">
            <v>2</v>
          </cell>
          <cell r="C323">
            <v>1</v>
          </cell>
          <cell r="D323">
            <v>5</v>
          </cell>
          <cell r="E323">
            <v>-1.0861515807276292</v>
          </cell>
          <cell r="F323">
            <v>-1.5107499503642448</v>
          </cell>
          <cell r="G323">
            <v>0.59384320407576385</v>
          </cell>
        </row>
        <row r="324">
          <cell r="A324">
            <v>56</v>
          </cell>
          <cell r="B324">
            <v>5</v>
          </cell>
          <cell r="C324">
            <v>6</v>
          </cell>
          <cell r="D324">
            <v>5</v>
          </cell>
          <cell r="E324">
            <v>0.49614331465336126</v>
          </cell>
          <cell r="F324">
            <v>1.1185788718036149</v>
          </cell>
          <cell r="G324">
            <v>0.59384320407576385</v>
          </cell>
        </row>
        <row r="325">
          <cell r="A325">
            <v>57</v>
          </cell>
          <cell r="B325">
            <v>5</v>
          </cell>
          <cell r="C325">
            <v>4</v>
          </cell>
          <cell r="D325">
            <v>1</v>
          </cell>
          <cell r="E325">
            <v>0.49614331465336126</v>
          </cell>
          <cell r="F325">
            <v>6.6847342936471071E-2</v>
          </cell>
          <cell r="G325">
            <v>-1.6131961055601465</v>
          </cell>
        </row>
        <row r="326">
          <cell r="A326">
            <v>58</v>
          </cell>
          <cell r="B326">
            <v>2</v>
          </cell>
          <cell r="C326">
            <v>2</v>
          </cell>
          <cell r="D326">
            <v>5</v>
          </cell>
          <cell r="E326">
            <v>-1.0861515807276292</v>
          </cell>
          <cell r="F326">
            <v>-0.98488418593067284</v>
          </cell>
          <cell r="G326">
            <v>0.59384320407576385</v>
          </cell>
        </row>
        <row r="327">
          <cell r="A327">
            <v>59</v>
          </cell>
          <cell r="B327">
            <v>3</v>
          </cell>
          <cell r="C327">
            <v>6</v>
          </cell>
          <cell r="D327">
            <v>3</v>
          </cell>
          <cell r="E327">
            <v>-0.5587199489339657</v>
          </cell>
          <cell r="F327">
            <v>1.1185788718036149</v>
          </cell>
          <cell r="G327">
            <v>-0.50967645074219126</v>
          </cell>
        </row>
        <row r="328">
          <cell r="A328">
            <v>60</v>
          </cell>
          <cell r="B328">
            <v>1</v>
          </cell>
          <cell r="C328">
            <v>2</v>
          </cell>
          <cell r="D328">
            <v>5</v>
          </cell>
          <cell r="E328">
            <v>-1.6135832125212926</v>
          </cell>
          <cell r="F328">
            <v>-0.98488418593067284</v>
          </cell>
          <cell r="G328">
            <v>0.59384320407576385</v>
          </cell>
        </row>
        <row r="329">
          <cell r="A329">
            <v>61</v>
          </cell>
          <cell r="B329">
            <v>3</v>
          </cell>
          <cell r="C329">
            <v>5</v>
          </cell>
          <cell r="D329">
            <v>3</v>
          </cell>
          <cell r="E329">
            <v>-0.5587199489339657</v>
          </cell>
          <cell r="F329">
            <v>0.59271310737004301</v>
          </cell>
          <cell r="G329">
            <v>-0.50967645074219126</v>
          </cell>
        </row>
        <row r="330">
          <cell r="A330">
            <v>62</v>
          </cell>
          <cell r="B330">
            <v>2</v>
          </cell>
          <cell r="C330">
            <v>3</v>
          </cell>
          <cell r="D330">
            <v>7</v>
          </cell>
          <cell r="E330">
            <v>-1.0861515807276292</v>
          </cell>
          <cell r="F330">
            <v>-0.45901842149710087</v>
          </cell>
          <cell r="G330">
            <v>1.6973628588937191</v>
          </cell>
        </row>
        <row r="331">
          <cell r="A331">
            <v>63</v>
          </cell>
          <cell r="B331">
            <v>1</v>
          </cell>
          <cell r="C331">
            <v>2</v>
          </cell>
          <cell r="D331">
            <v>6</v>
          </cell>
          <cell r="E331">
            <v>-1.6135832125212926</v>
          </cell>
          <cell r="F331">
            <v>-0.98488418593067284</v>
          </cell>
          <cell r="G331">
            <v>1.1456030314847414</v>
          </cell>
        </row>
        <row r="332">
          <cell r="A332">
            <v>64</v>
          </cell>
          <cell r="B332">
            <v>2</v>
          </cell>
          <cell r="C332">
            <v>1</v>
          </cell>
          <cell r="D332">
            <v>5</v>
          </cell>
          <cell r="E332">
            <v>-1.0861515807276292</v>
          </cell>
          <cell r="F332">
            <v>-1.5107499503642448</v>
          </cell>
          <cell r="G332">
            <v>0.59384320407576385</v>
          </cell>
        </row>
        <row r="333">
          <cell r="A333">
            <v>65</v>
          </cell>
          <cell r="B333">
            <v>1</v>
          </cell>
          <cell r="C333">
            <v>2</v>
          </cell>
          <cell r="D333">
            <v>7</v>
          </cell>
          <cell r="E333">
            <v>-1.6135832125212926</v>
          </cell>
          <cell r="F333">
            <v>-0.98488418593067284</v>
          </cell>
          <cell r="G333">
            <v>1.6973628588937191</v>
          </cell>
        </row>
        <row r="334">
          <cell r="A334">
            <v>66</v>
          </cell>
          <cell r="B334">
            <v>6</v>
          </cell>
          <cell r="C334">
            <v>4</v>
          </cell>
          <cell r="D334">
            <v>1</v>
          </cell>
          <cell r="E334">
            <v>1.0235749464470247</v>
          </cell>
          <cell r="F334">
            <v>6.6847342936471071E-2</v>
          </cell>
          <cell r="G334">
            <v>-1.6131961055601465</v>
          </cell>
        </row>
        <row r="335">
          <cell r="A335">
            <v>67</v>
          </cell>
          <cell r="B335">
            <v>7</v>
          </cell>
          <cell r="C335">
            <v>4</v>
          </cell>
          <cell r="D335">
            <v>2</v>
          </cell>
          <cell r="E335">
            <v>1.5510065782406881</v>
          </cell>
          <cell r="F335">
            <v>6.6847342936471071E-2</v>
          </cell>
          <cell r="G335">
            <v>-1.0614362781511688</v>
          </cell>
        </row>
        <row r="336">
          <cell r="A336">
            <v>68</v>
          </cell>
          <cell r="B336">
            <v>7</v>
          </cell>
          <cell r="C336">
            <v>4</v>
          </cell>
          <cell r="D336">
            <v>1</v>
          </cell>
          <cell r="E336">
            <v>1.5510065782406881</v>
          </cell>
          <cell r="F336">
            <v>6.6847342936471071E-2</v>
          </cell>
          <cell r="G336">
            <v>-1.6131961055601465</v>
          </cell>
        </row>
        <row r="337">
          <cell r="A337">
            <v>69</v>
          </cell>
          <cell r="B337">
            <v>3</v>
          </cell>
          <cell r="C337">
            <v>6</v>
          </cell>
          <cell r="D337">
            <v>3</v>
          </cell>
          <cell r="E337">
            <v>-0.5587199489339657</v>
          </cell>
          <cell r="F337">
            <v>1.1185788718036149</v>
          </cell>
          <cell r="G337">
            <v>-0.50967645074219126</v>
          </cell>
        </row>
        <row r="338">
          <cell r="A338">
            <v>70</v>
          </cell>
          <cell r="B338">
            <v>1</v>
          </cell>
          <cell r="C338">
            <v>1</v>
          </cell>
          <cell r="D338">
            <v>5</v>
          </cell>
          <cell r="E338">
            <v>-1.6135832125212926</v>
          </cell>
          <cell r="F338">
            <v>-1.5107499503642448</v>
          </cell>
          <cell r="G338">
            <v>0.59384320407576385</v>
          </cell>
        </row>
        <row r="339">
          <cell r="A339">
            <v>71</v>
          </cell>
          <cell r="B339">
            <v>4</v>
          </cell>
          <cell r="C339">
            <v>7</v>
          </cell>
          <cell r="D339">
            <v>3</v>
          </cell>
          <cell r="E339">
            <v>-3.1288317140302224E-2</v>
          </cell>
          <cell r="F339">
            <v>1.644444636237187</v>
          </cell>
          <cell r="G339">
            <v>-0.50967645074219126</v>
          </cell>
        </row>
        <row r="340">
          <cell r="A340">
            <v>72</v>
          </cell>
          <cell r="B340">
            <v>1</v>
          </cell>
          <cell r="C340">
            <v>3</v>
          </cell>
          <cell r="D340">
            <v>6</v>
          </cell>
          <cell r="E340">
            <v>-1.6135832125212926</v>
          </cell>
          <cell r="F340">
            <v>-0.45901842149710087</v>
          </cell>
          <cell r="G340">
            <v>1.1456030314847414</v>
          </cell>
        </row>
        <row r="341">
          <cell r="A341">
            <v>73</v>
          </cell>
          <cell r="B341">
            <v>7</v>
          </cell>
          <cell r="C341">
            <v>3</v>
          </cell>
          <cell r="D341">
            <v>1</v>
          </cell>
          <cell r="E341">
            <v>1.5510065782406881</v>
          </cell>
          <cell r="F341">
            <v>-0.45901842149710087</v>
          </cell>
          <cell r="G341">
            <v>-1.6131961055601465</v>
          </cell>
        </row>
        <row r="342">
          <cell r="A342">
            <v>74</v>
          </cell>
          <cell r="B342">
            <v>5</v>
          </cell>
          <cell r="C342">
            <v>4</v>
          </cell>
          <cell r="D342">
            <v>2</v>
          </cell>
          <cell r="E342">
            <v>0.49614331465336126</v>
          </cell>
          <cell r="F342">
            <v>6.6847342936471071E-2</v>
          </cell>
          <cell r="G342">
            <v>-1.0614362781511688</v>
          </cell>
        </row>
        <row r="343">
          <cell r="A343">
            <v>75</v>
          </cell>
          <cell r="B343">
            <v>6</v>
          </cell>
          <cell r="C343">
            <v>4</v>
          </cell>
          <cell r="D343">
            <v>2</v>
          </cell>
          <cell r="E343">
            <v>1.0235749464470247</v>
          </cell>
          <cell r="F343">
            <v>6.6847342936471071E-2</v>
          </cell>
          <cell r="G343">
            <v>-1.0614362781511688</v>
          </cell>
        </row>
        <row r="344">
          <cell r="A344">
            <v>76</v>
          </cell>
          <cell r="B344">
            <v>6</v>
          </cell>
          <cell r="C344">
            <v>3</v>
          </cell>
          <cell r="D344">
            <v>1</v>
          </cell>
          <cell r="E344">
            <v>1.0235749464470247</v>
          </cell>
          <cell r="F344">
            <v>-0.45901842149710087</v>
          </cell>
          <cell r="G344">
            <v>-1.6131961055601465</v>
          </cell>
        </row>
        <row r="345">
          <cell r="A345">
            <v>77</v>
          </cell>
          <cell r="B345">
            <v>2</v>
          </cell>
          <cell r="C345">
            <v>1</v>
          </cell>
          <cell r="D345">
            <v>7</v>
          </cell>
          <cell r="E345">
            <v>-1.0861515807276292</v>
          </cell>
          <cell r="F345">
            <v>-1.5107499503642448</v>
          </cell>
          <cell r="G345">
            <v>1.6973628588937191</v>
          </cell>
        </row>
        <row r="346">
          <cell r="A346">
            <v>78</v>
          </cell>
          <cell r="B346">
            <v>5</v>
          </cell>
          <cell r="C346">
            <v>6</v>
          </cell>
          <cell r="D346">
            <v>4</v>
          </cell>
          <cell r="E346">
            <v>0.49614331465336126</v>
          </cell>
          <cell r="F346">
            <v>1.1185788718036149</v>
          </cell>
          <cell r="G346">
            <v>4.2083376666786312E-2</v>
          </cell>
        </row>
        <row r="347">
          <cell r="A347">
            <v>79</v>
          </cell>
          <cell r="B347">
            <v>3</v>
          </cell>
          <cell r="C347">
            <v>2</v>
          </cell>
          <cell r="D347">
            <v>6</v>
          </cell>
          <cell r="E347">
            <v>-0.5587199489339657</v>
          </cell>
          <cell r="F347">
            <v>-0.98488418593067284</v>
          </cell>
          <cell r="G347">
            <v>1.1456030314847414</v>
          </cell>
        </row>
        <row r="348">
          <cell r="A348">
            <v>80</v>
          </cell>
          <cell r="B348">
            <v>2</v>
          </cell>
          <cell r="C348">
            <v>1</v>
          </cell>
          <cell r="D348">
            <v>6</v>
          </cell>
          <cell r="E348">
            <v>-1.0861515807276292</v>
          </cell>
          <cell r="F348">
            <v>-1.5107499503642448</v>
          </cell>
          <cell r="G348">
            <v>1.1456030314847414</v>
          </cell>
        </row>
        <row r="349">
          <cell r="A349">
            <v>81</v>
          </cell>
          <cell r="B349">
            <v>3</v>
          </cell>
          <cell r="C349">
            <v>5</v>
          </cell>
          <cell r="D349">
            <v>3</v>
          </cell>
          <cell r="E349">
            <v>-0.5587199489339657</v>
          </cell>
          <cell r="F349">
            <v>0.59271310737004301</v>
          </cell>
          <cell r="G349">
            <v>-0.50967645074219126</v>
          </cell>
        </row>
        <row r="350">
          <cell r="A350">
            <v>82</v>
          </cell>
          <cell r="B350">
            <v>7</v>
          </cell>
          <cell r="C350">
            <v>5</v>
          </cell>
          <cell r="D350">
            <v>3</v>
          </cell>
          <cell r="E350">
            <v>1.5510065782406881</v>
          </cell>
          <cell r="F350">
            <v>0.59271310737004301</v>
          </cell>
          <cell r="G350">
            <v>-0.50967645074219126</v>
          </cell>
        </row>
        <row r="351">
          <cell r="A351">
            <v>83</v>
          </cell>
          <cell r="B351">
            <v>3</v>
          </cell>
          <cell r="C351">
            <v>1</v>
          </cell>
          <cell r="D351">
            <v>6</v>
          </cell>
          <cell r="E351">
            <v>-0.5587199489339657</v>
          </cell>
          <cell r="F351">
            <v>-1.5107499503642448</v>
          </cell>
          <cell r="G351">
            <v>1.1456030314847414</v>
          </cell>
        </row>
        <row r="352">
          <cell r="A352">
            <v>84</v>
          </cell>
          <cell r="B352">
            <v>7</v>
          </cell>
          <cell r="C352">
            <v>5</v>
          </cell>
          <cell r="D352">
            <v>3</v>
          </cell>
          <cell r="E352">
            <v>1.5510065782406881</v>
          </cell>
          <cell r="F352">
            <v>0.59271310737004301</v>
          </cell>
          <cell r="G352">
            <v>-0.50967645074219126</v>
          </cell>
        </row>
        <row r="353">
          <cell r="A353">
            <v>85</v>
          </cell>
          <cell r="B353">
            <v>7</v>
          </cell>
          <cell r="C353">
            <v>3</v>
          </cell>
          <cell r="D353">
            <v>2</v>
          </cell>
          <cell r="E353">
            <v>1.5510065782406881</v>
          </cell>
          <cell r="F353">
            <v>-0.45901842149710087</v>
          </cell>
          <cell r="G353">
            <v>-1.0614362781511688</v>
          </cell>
        </row>
        <row r="354">
          <cell r="A354">
            <v>86</v>
          </cell>
          <cell r="B354">
            <v>3</v>
          </cell>
          <cell r="C354">
            <v>1</v>
          </cell>
          <cell r="D354">
            <v>5</v>
          </cell>
          <cell r="E354">
            <v>-0.5587199489339657</v>
          </cell>
          <cell r="F354">
            <v>-1.5107499503642448</v>
          </cell>
          <cell r="G354">
            <v>0.59384320407576385</v>
          </cell>
        </row>
        <row r="355">
          <cell r="A355">
            <v>87</v>
          </cell>
          <cell r="B355">
            <v>5</v>
          </cell>
          <cell r="C355">
            <v>5</v>
          </cell>
          <cell r="D355">
            <v>4</v>
          </cell>
          <cell r="E355">
            <v>0.49614331465336126</v>
          </cell>
          <cell r="F355">
            <v>0.59271310737004301</v>
          </cell>
          <cell r="G355">
            <v>4.2083376666786312E-2</v>
          </cell>
        </row>
        <row r="356">
          <cell r="A356">
            <v>88</v>
          </cell>
          <cell r="B356">
            <v>1</v>
          </cell>
          <cell r="C356">
            <v>1</v>
          </cell>
          <cell r="D356">
            <v>5</v>
          </cell>
          <cell r="E356">
            <v>-1.6135832125212926</v>
          </cell>
          <cell r="F356">
            <v>-1.5107499503642448</v>
          </cell>
          <cell r="G356">
            <v>0.59384320407576385</v>
          </cell>
        </row>
        <row r="357">
          <cell r="A357">
            <v>89</v>
          </cell>
          <cell r="B357">
            <v>7</v>
          </cell>
          <cell r="C357">
            <v>4</v>
          </cell>
          <cell r="D357">
            <v>2</v>
          </cell>
          <cell r="E357">
            <v>1.5510065782406881</v>
          </cell>
          <cell r="F357">
            <v>6.6847342936471071E-2</v>
          </cell>
          <cell r="G357">
            <v>-1.0614362781511688</v>
          </cell>
        </row>
        <row r="358">
          <cell r="A358">
            <v>90</v>
          </cell>
          <cell r="B358">
            <v>7</v>
          </cell>
          <cell r="C358">
            <v>3</v>
          </cell>
          <cell r="D358">
            <v>3</v>
          </cell>
          <cell r="E358">
            <v>1.5510065782406881</v>
          </cell>
          <cell r="F358">
            <v>-0.45901842149710087</v>
          </cell>
          <cell r="G358">
            <v>-0.50967645074219126</v>
          </cell>
        </row>
        <row r="359">
          <cell r="A359">
            <v>91</v>
          </cell>
          <cell r="B359">
            <v>7</v>
          </cell>
          <cell r="C359">
            <v>5</v>
          </cell>
          <cell r="D359">
            <v>1</v>
          </cell>
          <cell r="E359">
            <v>1.5510065782406881</v>
          </cell>
          <cell r="F359">
            <v>0.59271310737004301</v>
          </cell>
          <cell r="G359">
            <v>-1.6131961055601465</v>
          </cell>
        </row>
        <row r="360">
          <cell r="A360">
            <v>92</v>
          </cell>
          <cell r="B360">
            <v>3</v>
          </cell>
          <cell r="C360">
            <v>6</v>
          </cell>
          <cell r="D360">
            <v>5</v>
          </cell>
          <cell r="E360">
            <v>-0.5587199489339657</v>
          </cell>
          <cell r="F360">
            <v>1.1185788718036149</v>
          </cell>
          <cell r="G360">
            <v>0.59384320407576385</v>
          </cell>
        </row>
        <row r="361">
          <cell r="A361">
            <v>93</v>
          </cell>
          <cell r="B361">
            <v>3</v>
          </cell>
          <cell r="C361">
            <v>2</v>
          </cell>
          <cell r="D361">
            <v>5</v>
          </cell>
          <cell r="E361">
            <v>-0.5587199489339657</v>
          </cell>
          <cell r="F361">
            <v>-0.98488418593067284</v>
          </cell>
          <cell r="G361">
            <v>0.59384320407576385</v>
          </cell>
        </row>
        <row r="362">
          <cell r="A362">
            <v>94</v>
          </cell>
          <cell r="B362">
            <v>4</v>
          </cell>
          <cell r="C362">
            <v>7</v>
          </cell>
          <cell r="D362">
            <v>5</v>
          </cell>
          <cell r="E362">
            <v>-3.1288317140302224E-2</v>
          </cell>
          <cell r="F362">
            <v>1.644444636237187</v>
          </cell>
          <cell r="G362">
            <v>0.59384320407576385</v>
          </cell>
        </row>
        <row r="363">
          <cell r="A363">
            <v>95</v>
          </cell>
          <cell r="B363">
            <v>1</v>
          </cell>
          <cell r="C363">
            <v>1</v>
          </cell>
          <cell r="D363">
            <v>6</v>
          </cell>
          <cell r="E363">
            <v>-1.6135832125212926</v>
          </cell>
          <cell r="F363">
            <v>-1.5107499503642448</v>
          </cell>
          <cell r="G363">
            <v>1.1456030314847414</v>
          </cell>
        </row>
        <row r="364">
          <cell r="A364">
            <v>96</v>
          </cell>
          <cell r="B364">
            <v>4</v>
          </cell>
          <cell r="C364">
            <v>5</v>
          </cell>
          <cell r="D364">
            <v>3</v>
          </cell>
          <cell r="E364">
            <v>-3.1288317140302224E-2</v>
          </cell>
          <cell r="F364">
            <v>0.59271310737004301</v>
          </cell>
          <cell r="G364">
            <v>-0.50967645074219126</v>
          </cell>
        </row>
        <row r="365">
          <cell r="A365">
            <v>97</v>
          </cell>
          <cell r="B365">
            <v>7</v>
          </cell>
          <cell r="C365">
            <v>5</v>
          </cell>
          <cell r="D365">
            <v>1</v>
          </cell>
          <cell r="E365">
            <v>1.5510065782406881</v>
          </cell>
          <cell r="F365">
            <v>0.59271310737004301</v>
          </cell>
          <cell r="G365">
            <v>-1.6131961055601465</v>
          </cell>
        </row>
        <row r="366">
          <cell r="A366">
            <v>98</v>
          </cell>
          <cell r="B366">
            <v>5</v>
          </cell>
          <cell r="C366">
            <v>5</v>
          </cell>
          <cell r="D366">
            <v>5</v>
          </cell>
          <cell r="E366">
            <v>0.49614331465336126</v>
          </cell>
          <cell r="F366">
            <v>0.59271310737004301</v>
          </cell>
          <cell r="G366">
            <v>0.59384320407576385</v>
          </cell>
        </row>
        <row r="367">
          <cell r="A367">
            <v>99</v>
          </cell>
          <cell r="B367">
            <v>5</v>
          </cell>
          <cell r="C367">
            <v>7</v>
          </cell>
          <cell r="D367">
            <v>5</v>
          </cell>
          <cell r="E367">
            <v>0.49614331465336126</v>
          </cell>
          <cell r="F367">
            <v>1.644444636237187</v>
          </cell>
          <cell r="G367">
            <v>0.59384320407576385</v>
          </cell>
        </row>
        <row r="368">
          <cell r="A368">
            <v>100</v>
          </cell>
          <cell r="B368">
            <v>6</v>
          </cell>
          <cell r="C368">
            <v>3</v>
          </cell>
          <cell r="D368">
            <v>1</v>
          </cell>
          <cell r="E368">
            <v>1.0235749464470247</v>
          </cell>
          <cell r="F368">
            <v>-0.45901842149710087</v>
          </cell>
          <cell r="G368">
            <v>-1.6131961055601465</v>
          </cell>
        </row>
        <row r="369">
          <cell r="A369">
            <v>101</v>
          </cell>
          <cell r="B369">
            <v>1</v>
          </cell>
          <cell r="C369">
            <v>3</v>
          </cell>
          <cell r="D369">
            <v>5</v>
          </cell>
          <cell r="E369">
            <v>-1.6135832125212926</v>
          </cell>
          <cell r="F369">
            <v>-0.45901842149710087</v>
          </cell>
          <cell r="G369">
            <v>0.59384320407576385</v>
          </cell>
        </row>
        <row r="370">
          <cell r="A370">
            <v>102</v>
          </cell>
          <cell r="B370">
            <v>2</v>
          </cell>
          <cell r="C370">
            <v>1</v>
          </cell>
          <cell r="D370">
            <v>6</v>
          </cell>
          <cell r="E370">
            <v>-1.0861515807276292</v>
          </cell>
          <cell r="F370">
            <v>-1.5107499503642448</v>
          </cell>
          <cell r="G370">
            <v>1.1456030314847414</v>
          </cell>
        </row>
        <row r="371">
          <cell r="A371">
            <v>103</v>
          </cell>
          <cell r="B371">
            <v>1</v>
          </cell>
          <cell r="C371">
            <v>3</v>
          </cell>
          <cell r="D371">
            <v>5</v>
          </cell>
          <cell r="E371">
            <v>-1.6135832125212926</v>
          </cell>
          <cell r="F371">
            <v>-0.45901842149710087</v>
          </cell>
          <cell r="G371">
            <v>0.59384320407576385</v>
          </cell>
        </row>
        <row r="372">
          <cell r="A372">
            <v>104</v>
          </cell>
          <cell r="B372">
            <v>5</v>
          </cell>
          <cell r="C372">
            <v>4</v>
          </cell>
          <cell r="D372">
            <v>1</v>
          </cell>
          <cell r="E372">
            <v>0.49614331465336126</v>
          </cell>
          <cell r="F372">
            <v>6.6847342936471071E-2</v>
          </cell>
          <cell r="G372">
            <v>-1.6131961055601465</v>
          </cell>
        </row>
        <row r="373">
          <cell r="A373">
            <v>105</v>
          </cell>
          <cell r="B373">
            <v>6</v>
          </cell>
          <cell r="C373">
            <v>5</v>
          </cell>
          <cell r="D373">
            <v>3</v>
          </cell>
          <cell r="E373">
            <v>1.0235749464470247</v>
          </cell>
          <cell r="F373">
            <v>0.59271310737004301</v>
          </cell>
          <cell r="G373">
            <v>-0.50967645074219126</v>
          </cell>
        </row>
        <row r="374">
          <cell r="A374">
            <v>106</v>
          </cell>
          <cell r="B374">
            <v>7</v>
          </cell>
          <cell r="C374">
            <v>3</v>
          </cell>
          <cell r="D374">
            <v>3</v>
          </cell>
          <cell r="E374">
            <v>1.5510065782406881</v>
          </cell>
          <cell r="F374">
            <v>-0.45901842149710087</v>
          </cell>
          <cell r="G374">
            <v>-0.50967645074219126</v>
          </cell>
        </row>
        <row r="375">
          <cell r="A375">
            <v>107</v>
          </cell>
          <cell r="B375">
            <v>1</v>
          </cell>
          <cell r="C375">
            <v>2</v>
          </cell>
          <cell r="D375">
            <v>6</v>
          </cell>
          <cell r="E375">
            <v>-1.6135832125212926</v>
          </cell>
          <cell r="F375">
            <v>-0.98488418593067284</v>
          </cell>
          <cell r="G375">
            <v>1.1456030314847414</v>
          </cell>
        </row>
        <row r="376">
          <cell r="A376">
            <v>108</v>
          </cell>
          <cell r="B376">
            <v>7</v>
          </cell>
          <cell r="C376">
            <v>4</v>
          </cell>
          <cell r="D376">
            <v>3</v>
          </cell>
          <cell r="E376">
            <v>1.5510065782406881</v>
          </cell>
          <cell r="F376">
            <v>6.6847342936471071E-2</v>
          </cell>
          <cell r="G376">
            <v>-0.50967645074219126</v>
          </cell>
        </row>
        <row r="377">
          <cell r="A377">
            <v>109</v>
          </cell>
          <cell r="B377">
            <v>3</v>
          </cell>
          <cell r="C377">
            <v>3</v>
          </cell>
          <cell r="D377">
            <v>6</v>
          </cell>
          <cell r="E377">
            <v>-0.5587199489339657</v>
          </cell>
          <cell r="F377">
            <v>-0.45901842149710087</v>
          </cell>
          <cell r="G377">
            <v>1.1456030314847414</v>
          </cell>
        </row>
        <row r="378">
          <cell r="A378">
            <v>110</v>
          </cell>
          <cell r="B378">
            <v>2</v>
          </cell>
          <cell r="C378">
            <v>2</v>
          </cell>
          <cell r="D378">
            <v>5</v>
          </cell>
          <cell r="E378">
            <v>-1.0861515807276292</v>
          </cell>
          <cell r="F378">
            <v>-0.98488418593067284</v>
          </cell>
          <cell r="G378">
            <v>0.59384320407576385</v>
          </cell>
        </row>
        <row r="379">
          <cell r="A379">
            <v>111</v>
          </cell>
          <cell r="B379">
            <v>7</v>
          </cell>
          <cell r="C379">
            <v>3</v>
          </cell>
          <cell r="D379">
            <v>2</v>
          </cell>
          <cell r="E379">
            <v>1.5510065782406881</v>
          </cell>
          <cell r="F379">
            <v>-0.45901842149710087</v>
          </cell>
          <cell r="G379">
            <v>-1.0614362781511688</v>
          </cell>
        </row>
        <row r="380">
          <cell r="A380">
            <v>112</v>
          </cell>
          <cell r="B380">
            <v>5</v>
          </cell>
          <cell r="C380">
            <v>7</v>
          </cell>
          <cell r="D380">
            <v>3</v>
          </cell>
          <cell r="E380">
            <v>0.49614331465336126</v>
          </cell>
          <cell r="F380">
            <v>1.644444636237187</v>
          </cell>
          <cell r="G380">
            <v>-0.50967645074219126</v>
          </cell>
        </row>
        <row r="381">
          <cell r="A381">
            <v>113</v>
          </cell>
          <cell r="B381">
            <v>5</v>
          </cell>
          <cell r="C381">
            <v>3</v>
          </cell>
          <cell r="D381">
            <v>2</v>
          </cell>
          <cell r="E381">
            <v>0.49614331465336126</v>
          </cell>
          <cell r="F381">
            <v>-0.45901842149710087</v>
          </cell>
          <cell r="G381">
            <v>-1.0614362781511688</v>
          </cell>
        </row>
        <row r="382">
          <cell r="A382">
            <v>114</v>
          </cell>
          <cell r="B382">
            <v>3</v>
          </cell>
          <cell r="C382">
            <v>7</v>
          </cell>
          <cell r="D382">
            <v>5</v>
          </cell>
          <cell r="E382">
            <v>-0.5587199489339657</v>
          </cell>
          <cell r="F382">
            <v>1.644444636237187</v>
          </cell>
          <cell r="G382">
            <v>0.59384320407576385</v>
          </cell>
        </row>
        <row r="383">
          <cell r="A383">
            <v>115</v>
          </cell>
          <cell r="B383">
            <v>5</v>
          </cell>
          <cell r="C383">
            <v>5</v>
          </cell>
          <cell r="D383">
            <v>1</v>
          </cell>
          <cell r="E383">
            <v>0.49614331465336126</v>
          </cell>
          <cell r="F383">
            <v>0.59271310737004301</v>
          </cell>
          <cell r="G383">
            <v>-1.6131961055601465</v>
          </cell>
        </row>
        <row r="384">
          <cell r="A384">
            <v>116</v>
          </cell>
          <cell r="B384">
            <v>1</v>
          </cell>
          <cell r="C384">
            <v>3</v>
          </cell>
          <cell r="D384">
            <v>6</v>
          </cell>
          <cell r="E384">
            <v>-1.6135832125212926</v>
          </cell>
          <cell r="F384">
            <v>-0.45901842149710087</v>
          </cell>
          <cell r="G384">
            <v>1.1456030314847414</v>
          </cell>
        </row>
        <row r="385">
          <cell r="A385">
            <v>117</v>
          </cell>
          <cell r="B385">
            <v>6</v>
          </cell>
          <cell r="C385">
            <v>4</v>
          </cell>
          <cell r="D385">
            <v>2</v>
          </cell>
          <cell r="E385">
            <v>1.0235749464470247</v>
          </cell>
          <cell r="F385">
            <v>6.6847342936471071E-2</v>
          </cell>
          <cell r="G385">
            <v>-1.0614362781511688</v>
          </cell>
        </row>
        <row r="386">
          <cell r="A386">
            <v>118</v>
          </cell>
          <cell r="B386">
            <v>5</v>
          </cell>
          <cell r="C386">
            <v>3</v>
          </cell>
          <cell r="D386">
            <v>2</v>
          </cell>
          <cell r="E386">
            <v>0.49614331465336126</v>
          </cell>
          <cell r="F386">
            <v>-0.45901842149710087</v>
          </cell>
          <cell r="G386">
            <v>-1.0614362781511688</v>
          </cell>
        </row>
      </sheetData>
      <sheetData sheetId="1"/>
      <sheetData sheetId="2"/>
      <sheetData sheetId="3"/>
      <sheetData sheetId="4">
        <row r="6">
          <cell r="B6">
            <v>3166.8418019945248</v>
          </cell>
        </row>
      </sheetData>
      <sheetData sheetId="5">
        <row r="6">
          <cell r="B6">
            <v>3163.7918093072976</v>
          </cell>
        </row>
      </sheetData>
      <sheetData sheetId="6"/>
      <sheetData sheetId="7">
        <row r="11">
          <cell r="D11">
            <v>1113139812.5750859</v>
          </cell>
          <cell r="K11">
            <v>1241790434.5233545</v>
          </cell>
          <cell r="L11">
            <v>0.59819149918778336</v>
          </cell>
        </row>
      </sheetData>
      <sheetData sheetId="8">
        <row r="4">
          <cell r="M4">
            <v>1</v>
          </cell>
        </row>
        <row r="11">
          <cell r="B11">
            <v>43073</v>
          </cell>
          <cell r="C11">
            <v>10</v>
          </cell>
          <cell r="D11">
            <v>37600</v>
          </cell>
          <cell r="L11">
            <v>2</v>
          </cell>
          <cell r="M11">
            <v>3</v>
          </cell>
          <cell r="N11">
            <v>1</v>
          </cell>
        </row>
        <row r="12">
          <cell r="B12">
            <v>43086</v>
          </cell>
          <cell r="C12">
            <v>41</v>
          </cell>
          <cell r="D12">
            <v>37517</v>
          </cell>
          <cell r="L12">
            <v>1</v>
          </cell>
          <cell r="M12">
            <v>1</v>
          </cell>
          <cell r="N12">
            <v>2</v>
          </cell>
        </row>
        <row r="13">
          <cell r="B13">
            <v>42996</v>
          </cell>
          <cell r="C13">
            <v>5</v>
          </cell>
          <cell r="D13">
            <v>37553</v>
          </cell>
          <cell r="L13">
            <v>4</v>
          </cell>
          <cell r="M13">
            <v>4</v>
          </cell>
          <cell r="N13">
            <v>2</v>
          </cell>
        </row>
        <row r="14">
          <cell r="B14">
            <v>43085</v>
          </cell>
          <cell r="C14">
            <v>11</v>
          </cell>
          <cell r="D14">
            <v>37587</v>
          </cell>
          <cell r="L14">
            <v>1</v>
          </cell>
          <cell r="M14">
            <v>2</v>
          </cell>
          <cell r="N14">
            <v>2</v>
          </cell>
        </row>
        <row r="15">
          <cell r="B15">
            <v>43053</v>
          </cell>
          <cell r="C15">
            <v>7</v>
          </cell>
          <cell r="D15">
            <v>37590</v>
          </cell>
          <cell r="L15">
            <v>3</v>
          </cell>
          <cell r="M15">
            <v>4</v>
          </cell>
          <cell r="N15">
            <v>1</v>
          </cell>
        </row>
        <row r="16">
          <cell r="B16">
            <v>43076</v>
          </cell>
          <cell r="C16">
            <v>24</v>
          </cell>
          <cell r="D16">
            <v>37581</v>
          </cell>
          <cell r="L16">
            <v>2</v>
          </cell>
          <cell r="M16">
            <v>1</v>
          </cell>
          <cell r="N16">
            <v>2</v>
          </cell>
        </row>
        <row r="17">
          <cell r="B17">
            <v>43032</v>
          </cell>
          <cell r="C17">
            <v>3</v>
          </cell>
          <cell r="D17">
            <v>3172</v>
          </cell>
          <cell r="L17">
            <v>4</v>
          </cell>
          <cell r="M17">
            <v>4</v>
          </cell>
          <cell r="N17">
            <v>4</v>
          </cell>
        </row>
        <row r="18">
          <cell r="B18">
            <v>43069</v>
          </cell>
          <cell r="C18">
            <v>7</v>
          </cell>
          <cell r="D18">
            <v>1832</v>
          </cell>
          <cell r="L18">
            <v>2</v>
          </cell>
          <cell r="M18">
            <v>4</v>
          </cell>
          <cell r="N18">
            <v>4</v>
          </cell>
        </row>
        <row r="19">
          <cell r="B19">
            <v>43060</v>
          </cell>
          <cell r="C19">
            <v>20</v>
          </cell>
          <cell r="D19">
            <v>37613</v>
          </cell>
          <cell r="L19">
            <v>3</v>
          </cell>
          <cell r="M19">
            <v>1</v>
          </cell>
          <cell r="N19">
            <v>1</v>
          </cell>
        </row>
        <row r="20">
          <cell r="B20">
            <v>43013</v>
          </cell>
          <cell r="C20">
            <v>7</v>
          </cell>
          <cell r="D20">
            <v>1941</v>
          </cell>
          <cell r="L20">
            <v>4</v>
          </cell>
          <cell r="M20">
            <v>4</v>
          </cell>
          <cell r="N20">
            <v>4</v>
          </cell>
        </row>
        <row r="21">
          <cell r="B21">
            <v>43092</v>
          </cell>
          <cell r="C21">
            <v>12</v>
          </cell>
          <cell r="D21">
            <v>14220</v>
          </cell>
          <cell r="L21">
            <v>1</v>
          </cell>
          <cell r="M21">
            <v>2</v>
          </cell>
          <cell r="N21">
            <v>3</v>
          </cell>
        </row>
        <row r="22">
          <cell r="B22">
            <v>43063</v>
          </cell>
          <cell r="C22">
            <v>10</v>
          </cell>
          <cell r="D22">
            <v>10036</v>
          </cell>
          <cell r="L22">
            <v>3</v>
          </cell>
          <cell r="M22">
            <v>3</v>
          </cell>
          <cell r="N22">
            <v>3</v>
          </cell>
        </row>
        <row r="23">
          <cell r="B23">
            <v>43070</v>
          </cell>
          <cell r="C23">
            <v>11</v>
          </cell>
          <cell r="D23">
            <v>30350</v>
          </cell>
          <cell r="L23">
            <v>2</v>
          </cell>
          <cell r="M23">
            <v>2</v>
          </cell>
          <cell r="N23">
            <v>3</v>
          </cell>
        </row>
        <row r="24">
          <cell r="B24">
            <v>42936</v>
          </cell>
          <cell r="C24">
            <v>3</v>
          </cell>
          <cell r="D24">
            <v>3155</v>
          </cell>
          <cell r="L24">
            <v>4</v>
          </cell>
          <cell r="M24">
            <v>4</v>
          </cell>
          <cell r="N24">
            <v>4</v>
          </cell>
        </row>
        <row r="25">
          <cell r="B25">
            <v>43093</v>
          </cell>
          <cell r="C25">
            <v>25</v>
          </cell>
          <cell r="D25">
            <v>37614</v>
          </cell>
          <cell r="L25">
            <v>1</v>
          </cell>
          <cell r="M25">
            <v>1</v>
          </cell>
          <cell r="N25">
            <v>1</v>
          </cell>
        </row>
        <row r="26">
          <cell r="B26">
            <v>42989</v>
          </cell>
          <cell r="C26">
            <v>8</v>
          </cell>
          <cell r="D26">
            <v>5050</v>
          </cell>
          <cell r="L26">
            <v>4</v>
          </cell>
          <cell r="M26">
            <v>3</v>
          </cell>
          <cell r="N26">
            <v>3</v>
          </cell>
        </row>
        <row r="27">
          <cell r="B27">
            <v>43046</v>
          </cell>
          <cell r="C27">
            <v>14</v>
          </cell>
          <cell r="D27">
            <v>8276</v>
          </cell>
          <cell r="L27">
            <v>3</v>
          </cell>
          <cell r="M27">
            <v>2</v>
          </cell>
          <cell r="N27">
            <v>3</v>
          </cell>
        </row>
        <row r="28">
          <cell r="B28">
            <v>43084</v>
          </cell>
          <cell r="C28">
            <v>20</v>
          </cell>
          <cell r="D28">
            <v>37571</v>
          </cell>
          <cell r="L28">
            <v>1</v>
          </cell>
          <cell r="M28">
            <v>1</v>
          </cell>
          <cell r="N28">
            <v>2</v>
          </cell>
        </row>
        <row r="29">
          <cell r="B29">
            <v>43032</v>
          </cell>
          <cell r="C29">
            <v>4</v>
          </cell>
          <cell r="D29">
            <v>1993</v>
          </cell>
          <cell r="L29">
            <v>4</v>
          </cell>
          <cell r="M29">
            <v>4</v>
          </cell>
          <cell r="N29">
            <v>4</v>
          </cell>
        </row>
        <row r="30">
          <cell r="B30">
            <v>43083</v>
          </cell>
          <cell r="C30">
            <v>16</v>
          </cell>
          <cell r="D30">
            <v>37607</v>
          </cell>
          <cell r="L30">
            <v>2</v>
          </cell>
          <cell r="M30">
            <v>2</v>
          </cell>
          <cell r="N30">
            <v>1</v>
          </cell>
        </row>
      </sheetData>
      <sheetData sheetId="9">
        <row r="10">
          <cell r="A10" t="str">
            <v>Customer #</v>
          </cell>
          <cell r="B10" t="str">
            <v>Company Name</v>
          </cell>
          <cell r="C10" t="str">
            <v>Most 
Recent Order</v>
          </cell>
          <cell r="D10" t="str">
            <v>Number of 
Orders</v>
          </cell>
          <cell r="E10" t="str">
            <v>Sales 
Dollars ($)</v>
          </cell>
          <cell r="F10" t="str">
            <v>Specialty Jobs</v>
          </cell>
          <cell r="G10" t="str">
            <v>Response Time</v>
          </cell>
          <cell r="H10" t="str">
            <v>Sustainability</v>
          </cell>
          <cell r="I10" t="str">
            <v>Printing Solutions</v>
          </cell>
          <cell r="J10" t="str">
            <v>Z Most Recent</v>
          </cell>
          <cell r="K10" t="str">
            <v>Z Orders</v>
          </cell>
          <cell r="L10" t="str">
            <v>Z Sales $</v>
          </cell>
          <cell r="M10" t="str">
            <v>Z Specialty Jobs</v>
          </cell>
          <cell r="N10" t="str">
            <v>Z Response Time</v>
          </cell>
          <cell r="O10" t="str">
            <v>Z Sustainability</v>
          </cell>
          <cell r="P10" t="str">
            <v>Z Printing Solutions</v>
          </cell>
        </row>
        <row r="11">
          <cell r="A11">
            <v>1</v>
          </cell>
          <cell r="B11" t="str">
            <v>Bergstad's Supply</v>
          </cell>
          <cell r="C11">
            <v>43073</v>
          </cell>
          <cell r="D11">
            <v>10</v>
          </cell>
          <cell r="E11">
            <v>37600</v>
          </cell>
          <cell r="F11">
            <v>8.1673271795001714</v>
          </cell>
          <cell r="G11">
            <v>5.6415241282893591</v>
          </cell>
          <cell r="H11">
            <v>9.8567536554873332</v>
          </cell>
          <cell r="I11">
            <v>5.8522509615079983</v>
          </cell>
          <cell r="J11">
            <v>0.520715112196803</v>
          </cell>
          <cell r="K11">
            <v>-0.31008832924514818</v>
          </cell>
          <cell r="L11">
            <v>0.90520918173801346</v>
          </cell>
          <cell r="M11">
            <v>1.0872537158820748</v>
          </cell>
          <cell r="N11">
            <v>-0.63054064243295993</v>
          </cell>
          <cell r="O11">
            <v>1.1774436514114761</v>
          </cell>
          <cell r="P11">
            <v>-0.50437783626809851</v>
          </cell>
        </row>
        <row r="12">
          <cell r="A12">
            <v>2</v>
          </cell>
          <cell r="B12" t="str">
            <v>Blum's Goods</v>
          </cell>
          <cell r="C12">
            <v>43086</v>
          </cell>
          <cell r="D12">
            <v>41</v>
          </cell>
          <cell r="E12">
            <v>37517</v>
          </cell>
          <cell r="F12">
            <v>8.8434785824764575</v>
          </cell>
          <cell r="G12">
            <v>7.7544299816348667</v>
          </cell>
          <cell r="H12">
            <v>7.3109959012078534</v>
          </cell>
          <cell r="I12">
            <v>6.5628217875697548</v>
          </cell>
          <cell r="J12">
            <v>0.83630002867975672</v>
          </cell>
          <cell r="K12">
            <v>3.0046489833754015</v>
          </cell>
          <cell r="L12">
            <v>0.90013510497185023</v>
          </cell>
          <cell r="M12">
            <v>1.5290201368288177</v>
          </cell>
          <cell r="N12">
            <v>0.41104886405185215</v>
          </cell>
          <cell r="O12">
            <v>-9.0002897795385423E-2</v>
          </cell>
          <cell r="P12">
            <v>-0.13462018928255451</v>
          </cell>
        </row>
        <row r="13">
          <cell r="A13">
            <v>3</v>
          </cell>
          <cell r="B13" t="str">
            <v>Cherry Creek Inc</v>
          </cell>
          <cell r="C13">
            <v>42996</v>
          </cell>
          <cell r="D13">
            <v>5</v>
          </cell>
          <cell r="E13">
            <v>37553</v>
          </cell>
          <cell r="F13">
            <v>4.9191620645845218</v>
          </cell>
          <cell r="G13">
            <v>5.14565395311564</v>
          </cell>
          <cell r="H13">
            <v>9.1969779833493899</v>
          </cell>
          <cell r="I13">
            <v>5.837503454096038</v>
          </cell>
          <cell r="J13">
            <v>-1.3485186238945384</v>
          </cell>
          <cell r="K13">
            <v>-0.84472337966781741</v>
          </cell>
          <cell r="L13">
            <v>0.90233590935235475</v>
          </cell>
          <cell r="M13">
            <v>-1.0349489019695932</v>
          </cell>
          <cell r="N13">
            <v>-0.8749874880990518</v>
          </cell>
          <cell r="O13">
            <v>0.84896369392292459</v>
          </cell>
          <cell r="P13">
            <v>-0.51205195324496744</v>
          </cell>
        </row>
        <row r="14">
          <cell r="A14">
            <v>4</v>
          </cell>
          <cell r="B14" t="str">
            <v>Consolidated Holdings</v>
          </cell>
          <cell r="C14">
            <v>43085</v>
          </cell>
          <cell r="D14">
            <v>11</v>
          </cell>
          <cell r="E14">
            <v>37587</v>
          </cell>
          <cell r="F14">
            <v>4.584487981346574</v>
          </cell>
          <cell r="G14">
            <v>9.428789123717543</v>
          </cell>
          <cell r="H14">
            <v>5.4848904606311795</v>
          </cell>
          <cell r="I14">
            <v>4.3510805698945774</v>
          </cell>
          <cell r="J14">
            <v>0.81202426587337562</v>
          </cell>
          <cell r="K14">
            <v>-0.20316131916061436</v>
          </cell>
          <cell r="L14">
            <v>0.90441444682283123</v>
          </cell>
          <cell r="M14">
            <v>-1.2536096505606091</v>
          </cell>
          <cell r="N14">
            <v>1.2364500099282016</v>
          </cell>
          <cell r="O14">
            <v>-0.99915893797873201</v>
          </cell>
          <cell r="P14">
            <v>-1.2855374495943912</v>
          </cell>
        </row>
        <row r="15">
          <cell r="A15">
            <v>5</v>
          </cell>
          <cell r="B15" t="str">
            <v>Dollarwise Corp</v>
          </cell>
          <cell r="C15">
            <v>43053</v>
          </cell>
          <cell r="D15">
            <v>7</v>
          </cell>
          <cell r="E15">
            <v>37590</v>
          </cell>
          <cell r="F15">
            <v>4.5964874397234921</v>
          </cell>
          <cell r="G15">
            <v>4.5268592636652016</v>
          </cell>
          <cell r="H15">
            <v>5.52203981805566</v>
          </cell>
          <cell r="I15">
            <v>9.6267552801836231</v>
          </cell>
          <cell r="J15">
            <v>3.5199856069181877E-2</v>
          </cell>
          <cell r="K15">
            <v>-0.63086935949874978</v>
          </cell>
          <cell r="L15">
            <v>0.90459784718787328</v>
          </cell>
          <cell r="M15">
            <v>-1.2457697529324496</v>
          </cell>
          <cell r="N15">
            <v>-1.1800318677052593</v>
          </cell>
          <cell r="O15">
            <v>-0.98066353133850492</v>
          </cell>
          <cell r="P15">
            <v>1.4597498540643148</v>
          </cell>
        </row>
        <row r="16">
          <cell r="A16">
            <v>6</v>
          </cell>
          <cell r="B16" t="str">
            <v>Dunn's Holdings</v>
          </cell>
          <cell r="C16">
            <v>43076</v>
          </cell>
          <cell r="D16">
            <v>24</v>
          </cell>
          <cell r="E16">
            <v>37581</v>
          </cell>
          <cell r="F16">
            <v>5.1983815304005727</v>
          </cell>
          <cell r="G16">
            <v>6.406262969448365</v>
          </cell>
          <cell r="H16">
            <v>4.0821564815855913</v>
          </cell>
          <cell r="I16">
            <v>5.411725752866551</v>
          </cell>
          <cell r="J16">
            <v>0.59354240061594621</v>
          </cell>
          <cell r="K16">
            <v>1.1868898119383258</v>
          </cell>
          <cell r="L16">
            <v>0.90404764609274724</v>
          </cell>
          <cell r="M16">
            <v>-0.85251966566355775</v>
          </cell>
          <cell r="N16">
            <v>-0.25355084381445842</v>
          </cell>
          <cell r="O16">
            <v>-1.6975326690251618</v>
          </cell>
          <cell r="P16">
            <v>-0.73361264103465473</v>
          </cell>
        </row>
        <row r="17">
          <cell r="A17">
            <v>7</v>
          </cell>
          <cell r="B17" t="str">
            <v>Empire Trading</v>
          </cell>
          <cell r="C17">
            <v>43032</v>
          </cell>
          <cell r="D17">
            <v>3</v>
          </cell>
          <cell r="E17">
            <v>3172</v>
          </cell>
          <cell r="F17">
            <v>4.7140291888327646</v>
          </cell>
          <cell r="G17">
            <v>7.9356016200483834</v>
          </cell>
          <cell r="H17">
            <v>8.5212457098514527</v>
          </cell>
          <cell r="I17">
            <v>6.9001140897335747</v>
          </cell>
          <cell r="J17">
            <v>-0.47459116286482028</v>
          </cell>
          <cell r="K17">
            <v>-1.0585773998368853</v>
          </cell>
          <cell r="L17">
            <v>-1.1994934074844765</v>
          </cell>
          <cell r="M17">
            <v>-1.1689733467026391</v>
          </cell>
          <cell r="N17">
            <v>0.50036021559427313</v>
          </cell>
          <cell r="O17">
            <v>0.51253948514149317</v>
          </cell>
          <cell r="P17">
            <v>4.0895612126933538E-2</v>
          </cell>
        </row>
        <row r="18">
          <cell r="A18">
            <v>8</v>
          </cell>
          <cell r="B18" t="str">
            <v>Fraser Distributors</v>
          </cell>
          <cell r="C18">
            <v>43069</v>
          </cell>
          <cell r="D18">
            <v>7</v>
          </cell>
          <cell r="E18">
            <v>1832</v>
          </cell>
          <cell r="F18">
            <v>4.7388254081855097</v>
          </cell>
          <cell r="G18">
            <v>4.6733421826995363</v>
          </cell>
          <cell r="H18">
            <v>7.0256381986670799</v>
          </cell>
          <cell r="I18">
            <v>4.1910765018189471</v>
          </cell>
          <cell r="J18">
            <v>0.42361206097127879</v>
          </cell>
          <cell r="K18">
            <v>-0.63086935949874978</v>
          </cell>
          <cell r="L18">
            <v>-1.2814122372032559</v>
          </cell>
          <cell r="M18">
            <v>-1.1527726303715709</v>
          </cell>
          <cell r="N18">
            <v>-1.1078208550357431</v>
          </cell>
          <cell r="O18">
            <v>-0.23207283149858871</v>
          </cell>
          <cell r="P18">
            <v>-1.3687982950299704</v>
          </cell>
        </row>
        <row r="19">
          <cell r="A19">
            <v>9</v>
          </cell>
          <cell r="B19" t="str">
            <v>Gorham Street Corp</v>
          </cell>
          <cell r="C19">
            <v>43060</v>
          </cell>
          <cell r="D19">
            <v>20</v>
          </cell>
          <cell r="E19">
            <v>37613</v>
          </cell>
          <cell r="F19">
            <v>5.7235233991612171</v>
          </cell>
          <cell r="G19">
            <v>5.1967198254429485</v>
          </cell>
          <cell r="H19">
            <v>8.1889303437858683</v>
          </cell>
          <cell r="I19">
            <v>6.9174210216651719</v>
          </cell>
          <cell r="J19">
            <v>0.20513019571384927</v>
          </cell>
          <cell r="K19">
            <v>0.75918177160019029</v>
          </cell>
          <cell r="L19">
            <v>0.90600391665319568</v>
          </cell>
          <cell r="M19">
            <v>-0.50941597197823918</v>
          </cell>
          <cell r="N19">
            <v>-0.84981377926039303</v>
          </cell>
          <cell r="O19">
            <v>0.34709092144362907</v>
          </cell>
          <cell r="P19">
            <v>4.990156929947049E-2</v>
          </cell>
        </row>
        <row r="20">
          <cell r="A20">
            <v>10</v>
          </cell>
          <cell r="B20" t="str">
            <v>Hanover Supply</v>
          </cell>
          <cell r="C20">
            <v>43013</v>
          </cell>
          <cell r="D20">
            <v>7</v>
          </cell>
          <cell r="E20">
            <v>1941</v>
          </cell>
          <cell r="F20">
            <v>7.7369194652166451</v>
          </cell>
          <cell r="G20">
            <v>9.3871495110063599</v>
          </cell>
          <cell r="H20">
            <v>7.4244373061768103</v>
          </cell>
          <cell r="I20">
            <v>7.7590389059401792</v>
          </cell>
          <cell r="J20">
            <v>-0.93583065618606032</v>
          </cell>
          <cell r="K20">
            <v>-0.63086935949874978</v>
          </cell>
          <cell r="L20">
            <v>-1.2747486906067282</v>
          </cell>
          <cell r="M20">
            <v>0.80604498859119866</v>
          </cell>
          <cell r="N20">
            <v>1.2159231210536279</v>
          </cell>
          <cell r="O20">
            <v>-3.3524265049051483E-2</v>
          </cell>
          <cell r="P20">
            <v>0.48785178782340444</v>
          </cell>
        </row>
        <row r="21">
          <cell r="A21">
            <v>11</v>
          </cell>
          <cell r="B21" t="str">
            <v>Highbridge Marketing</v>
          </cell>
          <cell r="C21">
            <v>43092</v>
          </cell>
          <cell r="D21">
            <v>12</v>
          </cell>
          <cell r="E21">
            <v>14220</v>
          </cell>
          <cell r="F21">
            <v>7.7646179130513646</v>
          </cell>
          <cell r="G21">
            <v>4.8692503535100542</v>
          </cell>
          <cell r="H21">
            <v>7.5031105505289197</v>
          </cell>
          <cell r="I21">
            <v>4.4935545794001719</v>
          </cell>
          <cell r="J21">
            <v>0.98195460551804303</v>
          </cell>
          <cell r="K21">
            <v>-9.6234309076080507E-2</v>
          </cell>
          <cell r="L21">
            <v>-0.52409099648964463</v>
          </cell>
          <cell r="M21">
            <v>0.82414188835634383</v>
          </cell>
          <cell r="N21">
            <v>-1.0112449027150214</v>
          </cell>
          <cell r="O21">
            <v>5.6444782853712263E-3</v>
          </cell>
          <cell r="P21">
            <v>-1.2113986690827268</v>
          </cell>
        </row>
        <row r="22">
          <cell r="A22">
            <v>12</v>
          </cell>
          <cell r="B22" t="str">
            <v>Island Trading</v>
          </cell>
          <cell r="C22">
            <v>43063</v>
          </cell>
          <cell r="D22">
            <v>10</v>
          </cell>
          <cell r="E22">
            <v>10036</v>
          </cell>
          <cell r="F22">
            <v>7.9094863782830815</v>
          </cell>
          <cell r="G22">
            <v>7.370132134768383</v>
          </cell>
          <cell r="H22">
            <v>4.6547140447890181</v>
          </cell>
          <cell r="I22">
            <v>9.7086059103075701</v>
          </cell>
          <cell r="J22">
            <v>0.27795748413299243</v>
          </cell>
          <cell r="K22">
            <v>-0.31008832924514818</v>
          </cell>
          <cell r="L22">
            <v>-0.77987337226828124</v>
          </cell>
          <cell r="M22">
            <v>0.91879232184173854</v>
          </cell>
          <cell r="N22">
            <v>0.22160331728172741</v>
          </cell>
          <cell r="O22">
            <v>-1.41247565349233</v>
          </cell>
          <cell r="P22">
            <v>1.5023422252803607</v>
          </cell>
        </row>
        <row r="23">
          <cell r="A23">
            <v>13</v>
          </cell>
          <cell r="B23" t="str">
            <v>Kingsgate Goods</v>
          </cell>
          <cell r="C23">
            <v>43070</v>
          </cell>
          <cell r="D23">
            <v>11</v>
          </cell>
          <cell r="E23">
            <v>30350</v>
          </cell>
          <cell r="F23">
            <v>7.6237152667299659</v>
          </cell>
          <cell r="G23">
            <v>9.907697795200237</v>
          </cell>
          <cell r="H23">
            <v>9.1500463585531708</v>
          </cell>
          <cell r="I23">
            <v>5.5542357224150614</v>
          </cell>
          <cell r="J23">
            <v>0.44788782377765984</v>
          </cell>
          <cell r="K23">
            <v>-0.20316131916061436</v>
          </cell>
          <cell r="L23">
            <v>0.4619916328864086</v>
          </cell>
          <cell r="M23">
            <v>0.73208253967595349</v>
          </cell>
          <cell r="N23">
            <v>1.4725354209232684</v>
          </cell>
          <cell r="O23">
            <v>0.8255980277291769</v>
          </cell>
          <cell r="P23">
            <v>-0.65945514810141825</v>
          </cell>
        </row>
        <row r="24">
          <cell r="A24">
            <v>14</v>
          </cell>
          <cell r="B24" t="str">
            <v>Lillegard Drugs</v>
          </cell>
          <cell r="C24">
            <v>42936</v>
          </cell>
          <cell r="D24">
            <v>3</v>
          </cell>
          <cell r="E24">
            <v>3155</v>
          </cell>
          <cell r="F24">
            <v>4.5101671687934539</v>
          </cell>
          <cell r="G24">
            <v>9.2200163563652566</v>
          </cell>
          <cell r="H24">
            <v>9.8871736950305138</v>
          </cell>
          <cell r="I24">
            <v>6.519103358156757</v>
          </cell>
          <cell r="J24">
            <v>-2.8050643922774015</v>
          </cell>
          <cell r="K24">
            <v>-1.0585773998368853</v>
          </cell>
          <cell r="L24">
            <v>-1.2005326762197146</v>
          </cell>
          <cell r="M24">
            <v>-1.3021674724018768</v>
          </cell>
          <cell r="N24">
            <v>1.1335322564610397</v>
          </cell>
          <cell r="O24">
            <v>1.1925887586318813</v>
          </cell>
          <cell r="P24">
            <v>-0.15736981957521265</v>
          </cell>
        </row>
        <row r="25">
          <cell r="A25">
            <v>15</v>
          </cell>
          <cell r="B25" t="str">
            <v>Margot Marketing Inc.</v>
          </cell>
          <cell r="C25">
            <v>43093</v>
          </cell>
          <cell r="D25">
            <v>25</v>
          </cell>
          <cell r="E25">
            <v>37614</v>
          </cell>
          <cell r="F25">
            <v>5.4097235119573135</v>
          </cell>
          <cell r="G25">
            <v>4.8643971725020716</v>
          </cell>
          <cell r="H25">
            <v>8.114628982250089</v>
          </cell>
          <cell r="I25">
            <v>5.1077199787633329</v>
          </cell>
          <cell r="J25">
            <v>1.006230368324424</v>
          </cell>
          <cell r="K25">
            <v>1.2938168220228596</v>
          </cell>
          <cell r="L25">
            <v>0.9060650501082097</v>
          </cell>
          <cell r="M25">
            <v>-0.71443847500545243</v>
          </cell>
          <cell r="N25">
            <v>-1.0136373530946643</v>
          </cell>
          <cell r="O25">
            <v>0.31009879046746386</v>
          </cell>
          <cell r="P25">
            <v>-0.89180722991952854</v>
          </cell>
        </row>
        <row r="26">
          <cell r="A26">
            <v>16</v>
          </cell>
          <cell r="B26" t="str">
            <v>Oceanview LLC</v>
          </cell>
          <cell r="C26">
            <v>42989</v>
          </cell>
          <cell r="D26">
            <v>8</v>
          </cell>
          <cell r="E26">
            <v>5050</v>
          </cell>
          <cell r="F26">
            <v>7.6239587988328044</v>
          </cell>
          <cell r="G26">
            <v>4.1820519766478581</v>
          </cell>
          <cell r="H26">
            <v>4.7823336981822475</v>
          </cell>
          <cell r="I26">
            <v>9.6640497791657918</v>
          </cell>
          <cell r="J26">
            <v>-1.5184489635392058</v>
          </cell>
          <cell r="K26">
            <v>-0.52394234941421591</v>
          </cell>
          <cell r="L26">
            <v>-1.0846847789681573</v>
          </cell>
          <cell r="M26">
            <v>0.73224165242049999</v>
          </cell>
          <cell r="N26">
            <v>-1.3500099343323637</v>
          </cell>
          <cell r="O26">
            <v>-1.3489381511387315</v>
          </cell>
          <cell r="P26">
            <v>1.479156682607474</v>
          </cell>
        </row>
        <row r="27">
          <cell r="A27">
            <v>17</v>
          </cell>
          <cell r="B27" t="str">
            <v>Piccadilly</v>
          </cell>
          <cell r="C27">
            <v>43046</v>
          </cell>
          <cell r="D27">
            <v>14</v>
          </cell>
          <cell r="E27">
            <v>8276</v>
          </cell>
          <cell r="F27">
            <v>7.7359519630039539</v>
          </cell>
          <cell r="G27">
            <v>9.8161799324668522</v>
          </cell>
          <cell r="H27">
            <v>4.4482692850391752</v>
          </cell>
          <cell r="I27">
            <v>6.1664626904715485</v>
          </cell>
          <cell r="J27">
            <v>-0.1347304835754855</v>
          </cell>
          <cell r="K27">
            <v>0.1176197110929872</v>
          </cell>
          <cell r="L27">
            <v>-0.88746825309294664</v>
          </cell>
          <cell r="M27">
            <v>0.80541286686834601</v>
          </cell>
          <cell r="N27">
            <v>1.4274202799300821</v>
          </cell>
          <cell r="O27">
            <v>-1.5152575061281219</v>
          </cell>
          <cell r="P27">
            <v>-0.3408724047254808</v>
          </cell>
        </row>
        <row r="28">
          <cell r="A28">
            <v>18</v>
          </cell>
          <cell r="B28" t="str">
            <v>Quality Plus Drug Supply</v>
          </cell>
          <cell r="C28">
            <v>43084</v>
          </cell>
          <cell r="D28">
            <v>20</v>
          </cell>
          <cell r="E28">
            <v>37571</v>
          </cell>
          <cell r="F28">
            <v>8.1176877548032138</v>
          </cell>
          <cell r="G28">
            <v>9.0821792817376501</v>
          </cell>
          <cell r="H28">
            <v>9.0122455194752344</v>
          </cell>
          <cell r="I28">
            <v>6.2923617355434027</v>
          </cell>
          <cell r="J28">
            <v>0.78774850306699462</v>
          </cell>
          <cell r="K28">
            <v>0.75918177160019029</v>
          </cell>
          <cell r="L28">
            <v>0.90343631154260706</v>
          </cell>
          <cell r="M28">
            <v>1.0548215847207654</v>
          </cell>
          <cell r="N28">
            <v>1.065583346049648</v>
          </cell>
          <cell r="O28">
            <v>0.75699165790724832</v>
          </cell>
          <cell r="P28">
            <v>-0.27535868961631327</v>
          </cell>
        </row>
        <row r="29">
          <cell r="A29">
            <v>19</v>
          </cell>
          <cell r="B29" t="str">
            <v>Queen's Express Distribution</v>
          </cell>
          <cell r="C29">
            <v>43032</v>
          </cell>
          <cell r="D29">
            <v>4</v>
          </cell>
          <cell r="E29">
            <v>1993</v>
          </cell>
          <cell r="F29">
            <v>6.7082460016191359</v>
          </cell>
          <cell r="G29">
            <v>5.6284067316423183</v>
          </cell>
          <cell r="H29">
            <v>9.8028299132439116</v>
          </cell>
          <cell r="I29">
            <v>9.7962643905730484</v>
          </cell>
          <cell r="J29">
            <v>-0.47459116286482028</v>
          </cell>
          <cell r="K29">
            <v>-0.95165038975235128</v>
          </cell>
          <cell r="L29">
            <v>-1.2715697509459996</v>
          </cell>
          <cell r="M29">
            <v>0.13395676643261933</v>
          </cell>
          <cell r="N29">
            <v>-0.63700706528768547</v>
          </cell>
          <cell r="O29">
            <v>1.1505968467962866</v>
          </cell>
          <cell r="P29">
            <v>1.5479568103611097</v>
          </cell>
        </row>
        <row r="30">
          <cell r="A30">
            <v>20</v>
          </cell>
          <cell r="B30" t="str">
            <v>Valley Store Supply</v>
          </cell>
          <cell r="C30">
            <v>43083</v>
          </cell>
          <cell r="D30">
            <v>16</v>
          </cell>
          <cell r="E30">
            <v>37607</v>
          </cell>
          <cell r="F30">
            <v>7.4381572390935125</v>
          </cell>
          <cell r="G30">
            <v>7.3753750649098038</v>
          </cell>
          <cell r="H30">
            <v>9.8660462746485535</v>
          </cell>
          <cell r="I30">
            <v>9.7183366544022718</v>
          </cell>
          <cell r="J30">
            <v>0.76347274026061351</v>
          </cell>
          <cell r="K30">
            <v>0.33147373126205487</v>
          </cell>
          <cell r="L30">
            <v>0.90563711592311158</v>
          </cell>
          <cell r="M30">
            <v>0.61084740596764142</v>
          </cell>
          <cell r="N30">
            <v>0.22418790050387619</v>
          </cell>
          <cell r="O30">
            <v>1.1820701317076407</v>
          </cell>
          <cell r="P30">
            <v>1.5074057839122523</v>
          </cell>
        </row>
      </sheetData>
      <sheetData sheetId="10">
        <row r="29">
          <cell r="F29">
            <v>1</v>
          </cell>
          <cell r="G29">
            <v>0.99975566888014189</v>
          </cell>
          <cell r="H29">
            <v>0.9994511644570615</v>
          </cell>
          <cell r="I29">
            <v>0.99923965328694553</v>
          </cell>
          <cell r="J29">
            <v>0.99998372176261863</v>
          </cell>
          <cell r="K29">
            <v>0.99956428482035642</v>
          </cell>
        </row>
        <row r="30">
          <cell r="F30">
            <v>0.99975566888014189</v>
          </cell>
          <cell r="G30">
            <v>1</v>
          </cell>
          <cell r="H30">
            <v>0.99938793324039543</v>
          </cell>
          <cell r="I30">
            <v>0.99944738928900967</v>
          </cell>
          <cell r="J30">
            <v>0.99982262178921388</v>
          </cell>
          <cell r="K30">
            <v>0.99973229767366034</v>
          </cell>
        </row>
        <row r="31">
          <cell r="F31">
            <v>0.9994511644570615</v>
          </cell>
          <cell r="G31">
            <v>0.99938793324039543</v>
          </cell>
          <cell r="H31">
            <v>1</v>
          </cell>
          <cell r="I31">
            <v>0.99924911627382407</v>
          </cell>
          <cell r="J31">
            <v>0.99953811840531526</v>
          </cell>
          <cell r="K31">
            <v>0.99990241536952706</v>
          </cell>
        </row>
        <row r="32">
          <cell r="F32">
            <v>0.99923965328694553</v>
          </cell>
          <cell r="G32">
            <v>0.99944738928900967</v>
          </cell>
          <cell r="H32">
            <v>0.99924911627382407</v>
          </cell>
          <cell r="I32">
            <v>1</v>
          </cell>
          <cell r="J32">
            <v>0.99944042021355506</v>
          </cell>
          <cell r="K32">
            <v>0.99948513697879726</v>
          </cell>
        </row>
        <row r="33">
          <cell r="F33">
            <v>0.99998372176261863</v>
          </cell>
          <cell r="G33">
            <v>0.99982262178921388</v>
          </cell>
          <cell r="H33">
            <v>0.99953811840531526</v>
          </cell>
          <cell r="I33">
            <v>0.99944042021355506</v>
          </cell>
          <cell r="J33">
            <v>1</v>
          </cell>
          <cell r="K33">
            <v>0.99967233690352275</v>
          </cell>
        </row>
        <row r="34">
          <cell r="F34">
            <v>0.99956428482035642</v>
          </cell>
          <cell r="G34">
            <v>0.99973229767366034</v>
          </cell>
          <cell r="H34">
            <v>0.99990241536952706</v>
          </cell>
          <cell r="I34">
            <v>0.99948513697879726</v>
          </cell>
          <cell r="J34">
            <v>0.99967233690352275</v>
          </cell>
          <cell r="K34">
            <v>1</v>
          </cell>
        </row>
        <row r="47">
          <cell r="F47">
            <v>1000000</v>
          </cell>
          <cell r="G47">
            <v>129.1179205168965</v>
          </cell>
          <cell r="H47">
            <v>31.931166860534255</v>
          </cell>
          <cell r="I47">
            <v>1.2849514220329803</v>
          </cell>
          <cell r="J47">
            <v>55.668566488975372</v>
          </cell>
          <cell r="K47">
            <v>5.8395870919809632</v>
          </cell>
        </row>
        <row r="48">
          <cell r="F48">
            <v>47.312393977981031</v>
          </cell>
          <cell r="G48">
            <v>1000000</v>
          </cell>
          <cell r="H48">
            <v>1.2873062672379487</v>
          </cell>
          <cell r="I48">
            <v>5.2197322400245856</v>
          </cell>
          <cell r="J48">
            <v>44.28199694862316</v>
          </cell>
          <cell r="K48">
            <v>349.91142362585538</v>
          </cell>
        </row>
        <row r="49">
          <cell r="F49">
            <v>21.013990336323271</v>
          </cell>
          <cell r="G49">
            <v>5.2136685586537599</v>
          </cell>
          <cell r="H49">
            <v>1000000</v>
          </cell>
          <cell r="I49">
            <v>2.0381136573948226</v>
          </cell>
          <cell r="J49">
            <v>13.545093879449318</v>
          </cell>
          <cell r="K49">
            <v>197.40110889152086</v>
          </cell>
        </row>
        <row r="50">
          <cell r="F50">
            <v>0.4417565907924445</v>
          </cell>
          <cell r="G50">
            <v>39.694664690907736</v>
          </cell>
          <cell r="H50">
            <v>4.1021679422734989</v>
          </cell>
          <cell r="I50">
            <v>1000000</v>
          </cell>
          <cell r="J50">
            <v>2.3539586221577768</v>
          </cell>
          <cell r="K50">
            <v>36.432775576516441</v>
          </cell>
        </row>
        <row r="51">
          <cell r="F51">
            <v>278.9180108451402</v>
          </cell>
          <cell r="G51">
            <v>49.982577196342838</v>
          </cell>
          <cell r="H51">
            <v>43.903883508652306</v>
          </cell>
          <cell r="I51">
            <v>126.40217972672838</v>
          </cell>
          <cell r="J51">
            <v>1000000</v>
          </cell>
          <cell r="K51">
            <v>896.91045611604443</v>
          </cell>
        </row>
        <row r="52">
          <cell r="F52">
            <v>5.947449284211209</v>
          </cell>
          <cell r="G52">
            <v>538.83135070247374</v>
          </cell>
          <cell r="H52">
            <v>229.18420492998879</v>
          </cell>
          <cell r="I52">
            <v>42.602795103427361</v>
          </cell>
          <cell r="J52">
            <v>429.77342002346404</v>
          </cell>
          <cell r="K52">
            <v>1000000</v>
          </cell>
        </row>
        <row r="56">
          <cell r="F56">
            <v>31</v>
          </cell>
          <cell r="G56">
            <v>23</v>
          </cell>
          <cell r="H56">
            <v>13</v>
          </cell>
          <cell r="I56">
            <v>2</v>
          </cell>
          <cell r="J56">
            <v>21</v>
          </cell>
          <cell r="K56">
            <v>9</v>
          </cell>
        </row>
        <row r="57">
          <cell r="F57">
            <v>19</v>
          </cell>
          <cell r="G57">
            <v>31</v>
          </cell>
          <cell r="H57">
            <v>3</v>
          </cell>
          <cell r="I57">
            <v>8</v>
          </cell>
          <cell r="J57">
            <v>18</v>
          </cell>
          <cell r="K57">
            <v>27</v>
          </cell>
        </row>
        <row r="58">
          <cell r="F58">
            <v>12</v>
          </cell>
          <cell r="G58">
            <v>7</v>
          </cell>
          <cell r="H58">
            <v>31</v>
          </cell>
          <cell r="I58">
            <v>4</v>
          </cell>
          <cell r="J58">
            <v>11</v>
          </cell>
          <cell r="K58">
            <v>24</v>
          </cell>
        </row>
        <row r="59">
          <cell r="F59">
            <v>1</v>
          </cell>
          <cell r="G59">
            <v>15</v>
          </cell>
          <cell r="H59">
            <v>6</v>
          </cell>
          <cell r="I59">
            <v>31</v>
          </cell>
          <cell r="J59">
            <v>5</v>
          </cell>
          <cell r="K59">
            <v>14</v>
          </cell>
        </row>
        <row r="60">
          <cell r="F60">
            <v>26</v>
          </cell>
          <cell r="G60">
            <v>20</v>
          </cell>
          <cell r="H60">
            <v>17</v>
          </cell>
          <cell r="I60">
            <v>22</v>
          </cell>
          <cell r="J60">
            <v>31</v>
          </cell>
          <cell r="K60">
            <v>30</v>
          </cell>
        </row>
        <row r="61">
          <cell r="F61">
            <v>10</v>
          </cell>
          <cell r="G61">
            <v>29</v>
          </cell>
          <cell r="H61">
            <v>25</v>
          </cell>
          <cell r="I61">
            <v>16</v>
          </cell>
          <cell r="J61">
            <v>28</v>
          </cell>
          <cell r="K61">
            <v>31</v>
          </cell>
        </row>
      </sheetData>
      <sheetData sheetId="11">
        <row r="7">
          <cell r="B7">
            <v>0.05</v>
          </cell>
        </row>
        <row r="8">
          <cell r="B8">
            <v>0.89999691224537837</v>
          </cell>
        </row>
      </sheetData>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soap cluster 3"/>
      <sheetName val="soap cluster 4"/>
      <sheetName val="soap cluster 5"/>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sheetData sheetId="8"/>
      <sheetData sheetId="9">
        <row r="14">
          <cell r="F14">
            <v>170.98956688731698</v>
          </cell>
          <cell r="H14">
            <v>50.008073436424908</v>
          </cell>
        </row>
      </sheetData>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row r="3">
          <cell r="N3">
            <v>1</v>
          </cell>
          <cell r="O3">
            <v>1</v>
          </cell>
        </row>
        <row r="4">
          <cell r="N4">
            <v>2</v>
          </cell>
          <cell r="O4">
            <v>6</v>
          </cell>
        </row>
        <row r="5">
          <cell r="N5">
            <v>3</v>
          </cell>
          <cell r="O5">
            <v>11</v>
          </cell>
        </row>
        <row r="6">
          <cell r="N6">
            <v>4</v>
          </cell>
          <cell r="O6">
            <v>16</v>
          </cell>
        </row>
        <row r="11">
          <cell r="C11">
            <v>43073</v>
          </cell>
          <cell r="D11">
            <v>10</v>
          </cell>
          <cell r="E11">
            <v>37600</v>
          </cell>
        </row>
        <row r="12">
          <cell r="C12">
            <v>43086</v>
          </cell>
          <cell r="D12">
            <v>41</v>
          </cell>
          <cell r="E12">
            <v>37517</v>
          </cell>
        </row>
        <row r="13">
          <cell r="C13">
            <v>42996</v>
          </cell>
          <cell r="D13">
            <v>5</v>
          </cell>
          <cell r="E13">
            <v>37553</v>
          </cell>
        </row>
        <row r="14">
          <cell r="C14">
            <v>43085</v>
          </cell>
          <cell r="D14">
            <v>11</v>
          </cell>
          <cell r="E14">
            <v>37587</v>
          </cell>
        </row>
        <row r="15">
          <cell r="C15">
            <v>43053</v>
          </cell>
          <cell r="D15">
            <v>7</v>
          </cell>
          <cell r="E15">
            <v>37590</v>
          </cell>
        </row>
        <row r="16">
          <cell r="C16">
            <v>43076</v>
          </cell>
          <cell r="D16">
            <v>24</v>
          </cell>
          <cell r="E16">
            <v>37581</v>
          </cell>
        </row>
        <row r="17">
          <cell r="C17">
            <v>43032</v>
          </cell>
          <cell r="D17">
            <v>3</v>
          </cell>
          <cell r="E17">
            <v>3172</v>
          </cell>
        </row>
        <row r="18">
          <cell r="C18">
            <v>43069</v>
          </cell>
          <cell r="D18">
            <v>7</v>
          </cell>
          <cell r="E18">
            <v>1832</v>
          </cell>
        </row>
        <row r="19">
          <cell r="C19">
            <v>43060</v>
          </cell>
          <cell r="D19">
            <v>20</v>
          </cell>
          <cell r="E19">
            <v>37613</v>
          </cell>
        </row>
        <row r="20">
          <cell r="C20">
            <v>43013</v>
          </cell>
          <cell r="D20">
            <v>7</v>
          </cell>
          <cell r="E20">
            <v>1941</v>
          </cell>
        </row>
        <row r="21">
          <cell r="C21">
            <v>43092</v>
          </cell>
          <cell r="D21">
            <v>12</v>
          </cell>
          <cell r="E21">
            <v>14220</v>
          </cell>
        </row>
        <row r="22">
          <cell r="C22">
            <v>43063</v>
          </cell>
          <cell r="D22">
            <v>10</v>
          </cell>
          <cell r="E22">
            <v>10036</v>
          </cell>
        </row>
        <row r="23">
          <cell r="C23">
            <v>43070</v>
          </cell>
          <cell r="D23">
            <v>11</v>
          </cell>
          <cell r="E23">
            <v>30350</v>
          </cell>
        </row>
        <row r="24">
          <cell r="C24">
            <v>42936</v>
          </cell>
          <cell r="D24">
            <v>3</v>
          </cell>
          <cell r="E24">
            <v>3155</v>
          </cell>
        </row>
        <row r="25">
          <cell r="C25">
            <v>43093</v>
          </cell>
          <cell r="D25">
            <v>25</v>
          </cell>
          <cell r="E25">
            <v>37614</v>
          </cell>
        </row>
        <row r="26">
          <cell r="C26">
            <v>42989</v>
          </cell>
          <cell r="D26">
            <v>8</v>
          </cell>
          <cell r="E26">
            <v>5050</v>
          </cell>
        </row>
        <row r="27">
          <cell r="C27">
            <v>43046</v>
          </cell>
          <cell r="D27">
            <v>14</v>
          </cell>
          <cell r="E27">
            <v>8276</v>
          </cell>
        </row>
        <row r="28">
          <cell r="C28">
            <v>43084</v>
          </cell>
          <cell r="D28">
            <v>20</v>
          </cell>
          <cell r="E28">
            <v>37571</v>
          </cell>
        </row>
        <row r="29">
          <cell r="C29">
            <v>43032</v>
          </cell>
          <cell r="D29">
            <v>4</v>
          </cell>
          <cell r="E29">
            <v>1993</v>
          </cell>
        </row>
        <row r="30">
          <cell r="C30">
            <v>43083</v>
          </cell>
          <cell r="D30">
            <v>16</v>
          </cell>
          <cell r="E30">
            <v>37607</v>
          </cell>
        </row>
      </sheetData>
      <sheetData sheetId="8">
        <row r="7">
          <cell r="B7">
            <v>1</v>
          </cell>
        </row>
        <row r="27">
          <cell r="R27">
            <v>43030.222222222219</v>
          </cell>
          <cell r="S27">
            <v>7.5555555555555554</v>
          </cell>
          <cell r="T27">
            <v>5519.4444444444443</v>
          </cell>
          <cell r="U27">
            <v>6.6046891428687466</v>
          </cell>
          <cell r="V27">
            <v>7.0091256443505552</v>
          </cell>
          <cell r="W27">
            <v>7.116639155723238</v>
          </cell>
          <cell r="X27">
            <v>7.2442522450630662</v>
          </cell>
          <cell r="Z27">
            <v>43069</v>
          </cell>
          <cell r="AA27">
            <v>17.272727272727273</v>
          </cell>
          <cell r="AB27">
            <v>36925.727272727272</v>
          </cell>
          <cell r="AC27">
            <v>6.4201938136160921</v>
          </cell>
          <cell r="AD27">
            <v>6.8481716872421536</v>
          </cell>
          <cell r="AE27">
            <v>7.7987010708209024</v>
          </cell>
          <cell r="AF27">
            <v>6.4756557199007068</v>
          </cell>
          <cell r="AH27" t="e">
            <v>#DIV/0!</v>
          </cell>
          <cell r="AI27" t="e">
            <v>#DIV/0!</v>
          </cell>
          <cell r="AJ27" t="e">
            <v>#DIV/0!</v>
          </cell>
          <cell r="AK27" t="e">
            <v>#DIV/0!</v>
          </cell>
          <cell r="AL27" t="e">
            <v>#DIV/0!</v>
          </cell>
          <cell r="AM27" t="e">
            <v>#DIV/0!</v>
          </cell>
          <cell r="AN27" t="e">
            <v>#DIV/0!</v>
          </cell>
        </row>
        <row r="29">
          <cell r="B29">
            <v>1</v>
          </cell>
          <cell r="C29" t="str">
            <v>Fraser Distributors</v>
          </cell>
          <cell r="D29">
            <v>43069</v>
          </cell>
          <cell r="E29">
            <v>7</v>
          </cell>
          <cell r="F29">
            <v>1832</v>
          </cell>
          <cell r="G29">
            <v>4.7388254081855097</v>
          </cell>
          <cell r="H29">
            <v>4.6733421826995363</v>
          </cell>
          <cell r="I29">
            <v>7.0256381986670799</v>
          </cell>
          <cell r="J29">
            <v>4.1910765018189471</v>
          </cell>
        </row>
        <row r="30">
          <cell r="B30">
            <v>16</v>
          </cell>
          <cell r="C30" t="str">
            <v>Dollarwise Corp</v>
          </cell>
          <cell r="D30">
            <v>43053</v>
          </cell>
          <cell r="E30">
            <v>7</v>
          </cell>
          <cell r="F30">
            <v>37590</v>
          </cell>
          <cell r="G30">
            <v>4.5964874397234921</v>
          </cell>
          <cell r="H30">
            <v>4.5268592636652016</v>
          </cell>
          <cell r="I30">
            <v>5.52203981805566</v>
          </cell>
          <cell r="J30">
            <v>9.6267552801836231</v>
          </cell>
        </row>
        <row r="31">
          <cell r="B31">
            <v>1</v>
          </cell>
          <cell r="C31" t="str">
            <v>Fraser Distributors</v>
          </cell>
          <cell r="D31">
            <v>43069</v>
          </cell>
          <cell r="E31">
            <v>7</v>
          </cell>
          <cell r="F31">
            <v>1832</v>
          </cell>
          <cell r="G31">
            <v>4.7388254081855097</v>
          </cell>
          <cell r="H31">
            <v>4.6733421826995363</v>
          </cell>
          <cell r="I31">
            <v>7.0256381986670799</v>
          </cell>
          <cell r="J31">
            <v>4.1910765018189471</v>
          </cell>
        </row>
      </sheetData>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ations"/>
      <sheetName val="Secondary Axis"/>
      <sheetName val="Sales Tracker"/>
      <sheetName val="Labels and Tables"/>
      <sheetName val="Picture"/>
      <sheetName val="Dynamic Labels"/>
      <sheetName val="Sparklines"/>
      <sheetName val="Survey PivotChart"/>
      <sheetName val="Survey Data"/>
      <sheetName val="End of Month Dashboard"/>
      <sheetName val="Checkboxes"/>
      <sheetName val="Housing starts"/>
      <sheetName val="New data"/>
      <sheetName val="Secondary_Axis"/>
      <sheetName val="Sales_Tracker"/>
      <sheetName val="Labels_and_Tables"/>
      <sheetName val="Dynamic_Labels"/>
      <sheetName val="Survey_PivotChart"/>
      <sheetName val="Survey_Data"/>
      <sheetName val="End_of_Month_Dashboard"/>
      <sheetName val="Housing_starts"/>
      <sheetName val="New_data"/>
    </sheetNames>
    <sheetDataSet>
      <sheetData sheetId="0" refreshError="1"/>
      <sheetData sheetId="1" refreshError="1"/>
      <sheetData sheetId="2" refreshError="1"/>
      <sheetData sheetId="3" refreshError="1"/>
      <sheetData sheetId="4" refreshError="1"/>
      <sheetData sheetId="5">
        <row r="1">
          <cell r="D1">
            <v>2000</v>
          </cell>
        </row>
        <row r="2">
          <cell r="D2">
            <v>1000</v>
          </cell>
        </row>
        <row r="3">
          <cell r="D3">
            <v>0.2</v>
          </cell>
        </row>
      </sheetData>
      <sheetData sheetId="6" refreshError="1"/>
      <sheetData sheetId="7" refreshError="1"/>
      <sheetData sheetId="8" refreshError="1"/>
      <sheetData sheetId="9" refreshError="1"/>
      <sheetData sheetId="10">
        <row r="5">
          <cell r="O5" t="str">
            <v>Chocolate</v>
          </cell>
        </row>
      </sheetData>
      <sheetData sheetId="11" refreshError="1"/>
      <sheetData sheetId="12" refreshError="1"/>
      <sheetData sheetId="13"/>
      <sheetData sheetId="14"/>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ar"/>
      <sheetName val="gomp"/>
      <sheetName val="Sheet2"/>
      <sheetName val="Sheet3"/>
    </sheetNames>
    <sheetDataSet>
      <sheetData sheetId="0"/>
      <sheetData sheetId="1" refreshError="1">
        <row r="3">
          <cell r="H3">
            <v>1.1629672421955843</v>
          </cell>
          <cell r="I3">
            <v>0.17121084148475277</v>
          </cell>
          <cell r="J3">
            <v>2.8234669886546802</v>
          </cell>
        </row>
      </sheetData>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Answer - Soap A &amp; B"/>
      <sheetName val="Regression Answer A"/>
      <sheetName val="Regression Answer Both"/>
      <sheetName val="Regression Answer - Soap A &amp; B"/>
      <sheetName val="soap cluster 3"/>
      <sheetName val="soap cluster 4"/>
      <sheetName val="soap cluster 5"/>
      <sheetName val="Multiple Products"/>
      <sheetName val="Product A &amp; B"/>
      <sheetName val="Conjoint"/>
      <sheetName val="Conjoint (answer)"/>
      <sheetName val="Trend &amp; Seasonality"/>
      <sheetName val="Trend &amp; Seasonality (Additive4)"/>
      <sheetName val="Trend &amp; Seasonality (Additive8)"/>
      <sheetName val="Trend &amp; Seasonality (Multipl4)"/>
      <sheetName val="Trend &amp; Seasonality (Multipl8)"/>
      <sheetName val="Single (Ans) &amp; Multiple Pricing"/>
      <sheetName val="Single &amp; Multiple Pricing (Ans)"/>
      <sheetName val="S-curve"/>
      <sheetName val="S-curve Gompertz"/>
      <sheetName val="S-curve Pearl"/>
      <sheetName val="RFM"/>
      <sheetName val="RFM (2)"/>
      <sheetName val="Cluster"/>
      <sheetName val="Cluster (Answer)"/>
      <sheetName val="MDS"/>
      <sheetName val="MDS (VSRank)"/>
      <sheetName val="MDS (VRank)"/>
      <sheetName val="MDS (zscore)"/>
      <sheetName val="MDS (Sum)"/>
      <sheetName val="CLV"/>
      <sheetName val="CLV Answer"/>
      <sheetName val="Forecast"/>
      <sheetName val="Point Sheet"/>
      <sheetName val="Single &amp; Multiple Pricing (New)"/>
    </sheetNames>
    <sheetDataSet>
      <sheetData sheetId="0" refreshError="1"/>
      <sheetData sheetId="1">
        <row r="2">
          <cell r="B2" t="str">
            <v>Soap A</v>
          </cell>
          <cell r="C2">
            <v>2</v>
          </cell>
          <cell r="D2">
            <v>9</v>
          </cell>
        </row>
        <row r="3">
          <cell r="B3" t="str">
            <v>Soap A</v>
          </cell>
          <cell r="C3">
            <v>2</v>
          </cell>
          <cell r="D3">
            <v>10</v>
          </cell>
        </row>
        <row r="4">
          <cell r="B4" t="str">
            <v>Soap A</v>
          </cell>
          <cell r="C4">
            <v>2</v>
          </cell>
          <cell r="D4">
            <v>3</v>
          </cell>
        </row>
        <row r="5">
          <cell r="B5" t="str">
            <v>Soap A</v>
          </cell>
          <cell r="C5">
            <v>2</v>
          </cell>
          <cell r="D5">
            <v>0</v>
          </cell>
        </row>
        <row r="6">
          <cell r="B6" t="str">
            <v>Soap A</v>
          </cell>
          <cell r="C6">
            <v>2</v>
          </cell>
          <cell r="D6">
            <v>10</v>
          </cell>
        </row>
        <row r="7">
          <cell r="B7" t="str">
            <v>Soap A</v>
          </cell>
          <cell r="C7">
            <v>2</v>
          </cell>
          <cell r="D7">
            <v>2</v>
          </cell>
        </row>
        <row r="8">
          <cell r="B8" t="str">
            <v>Soap A</v>
          </cell>
          <cell r="C8">
            <v>2</v>
          </cell>
          <cell r="D8">
            <v>2</v>
          </cell>
        </row>
        <row r="9">
          <cell r="B9" t="str">
            <v>Soap A</v>
          </cell>
          <cell r="C9">
            <v>2</v>
          </cell>
          <cell r="D9">
            <v>2</v>
          </cell>
        </row>
        <row r="10">
          <cell r="B10" t="str">
            <v>Soap A</v>
          </cell>
          <cell r="C10">
            <v>2</v>
          </cell>
          <cell r="D10">
            <v>2</v>
          </cell>
        </row>
        <row r="11">
          <cell r="B11" t="str">
            <v>Soap A</v>
          </cell>
          <cell r="C11">
            <v>2</v>
          </cell>
          <cell r="D11">
            <v>4</v>
          </cell>
        </row>
        <row r="12">
          <cell r="B12" t="str">
            <v>Soap A</v>
          </cell>
          <cell r="C12">
            <v>2</v>
          </cell>
          <cell r="D12">
            <v>6</v>
          </cell>
        </row>
        <row r="13">
          <cell r="B13" t="str">
            <v>Soap A</v>
          </cell>
          <cell r="C13">
            <v>2</v>
          </cell>
          <cell r="D13">
            <v>5</v>
          </cell>
        </row>
        <row r="14">
          <cell r="B14" t="str">
            <v>Soap A</v>
          </cell>
          <cell r="C14">
            <v>2</v>
          </cell>
          <cell r="D14">
            <v>2</v>
          </cell>
        </row>
        <row r="15">
          <cell r="B15" t="str">
            <v>Soap A</v>
          </cell>
          <cell r="C15">
            <v>2</v>
          </cell>
          <cell r="D15">
            <v>5</v>
          </cell>
        </row>
        <row r="16">
          <cell r="B16" t="str">
            <v>Soap A</v>
          </cell>
          <cell r="C16">
            <v>2</v>
          </cell>
          <cell r="D16">
            <v>9</v>
          </cell>
        </row>
        <row r="17">
          <cell r="B17" t="str">
            <v>Soap A</v>
          </cell>
          <cell r="C17">
            <v>2</v>
          </cell>
          <cell r="D17">
            <v>5</v>
          </cell>
        </row>
        <row r="18">
          <cell r="B18" t="str">
            <v>Soap A</v>
          </cell>
          <cell r="C18">
            <v>2</v>
          </cell>
          <cell r="D18">
            <v>10</v>
          </cell>
        </row>
        <row r="19">
          <cell r="B19" t="str">
            <v>Soap A</v>
          </cell>
          <cell r="C19">
            <v>2</v>
          </cell>
          <cell r="D19">
            <v>6</v>
          </cell>
        </row>
        <row r="20">
          <cell r="B20" t="str">
            <v>Soap A</v>
          </cell>
          <cell r="C20">
            <v>2</v>
          </cell>
          <cell r="D20">
            <v>10</v>
          </cell>
        </row>
        <row r="21">
          <cell r="B21" t="str">
            <v>Soap A</v>
          </cell>
          <cell r="C21">
            <v>2</v>
          </cell>
          <cell r="D21">
            <v>2</v>
          </cell>
        </row>
        <row r="22">
          <cell r="B22" t="str">
            <v>Soap A</v>
          </cell>
          <cell r="C22">
            <v>2</v>
          </cell>
          <cell r="D22">
            <v>9</v>
          </cell>
        </row>
        <row r="23">
          <cell r="B23" t="str">
            <v>Soap A</v>
          </cell>
          <cell r="C23">
            <v>2</v>
          </cell>
          <cell r="D23">
            <v>9</v>
          </cell>
        </row>
        <row r="24">
          <cell r="B24" t="str">
            <v>Soap A</v>
          </cell>
          <cell r="C24">
            <v>2</v>
          </cell>
          <cell r="D24">
            <v>0</v>
          </cell>
        </row>
        <row r="25">
          <cell r="B25" t="str">
            <v>Soap A</v>
          </cell>
          <cell r="C25">
            <v>2</v>
          </cell>
          <cell r="D25">
            <v>2</v>
          </cell>
        </row>
        <row r="26">
          <cell r="B26" t="str">
            <v>Soap A</v>
          </cell>
          <cell r="C26">
            <v>2</v>
          </cell>
          <cell r="D26">
            <v>2</v>
          </cell>
        </row>
        <row r="27">
          <cell r="B27" t="str">
            <v>Soap A</v>
          </cell>
          <cell r="C27">
            <v>2</v>
          </cell>
          <cell r="D27">
            <v>10</v>
          </cell>
        </row>
        <row r="28">
          <cell r="B28" t="str">
            <v>Soap A</v>
          </cell>
          <cell r="C28">
            <v>2</v>
          </cell>
          <cell r="D28">
            <v>4</v>
          </cell>
        </row>
        <row r="29">
          <cell r="B29" t="str">
            <v>Soap A</v>
          </cell>
          <cell r="C29">
            <v>2</v>
          </cell>
          <cell r="D29">
            <v>9</v>
          </cell>
        </row>
        <row r="30">
          <cell r="B30" t="str">
            <v>Soap A</v>
          </cell>
          <cell r="C30">
            <v>2</v>
          </cell>
          <cell r="D30">
            <v>8</v>
          </cell>
        </row>
        <row r="31">
          <cell r="B31" t="str">
            <v>Soap A</v>
          </cell>
          <cell r="C31">
            <v>2.2999999999999998</v>
          </cell>
          <cell r="D31">
            <v>4</v>
          </cell>
        </row>
        <row r="32">
          <cell r="B32" t="str">
            <v>Soap A</v>
          </cell>
          <cell r="C32">
            <v>2.2999999999999998</v>
          </cell>
          <cell r="D32">
            <v>7</v>
          </cell>
        </row>
        <row r="33">
          <cell r="B33" t="str">
            <v>Soap A</v>
          </cell>
          <cell r="C33">
            <v>2.2999999999999998</v>
          </cell>
          <cell r="D33">
            <v>3</v>
          </cell>
        </row>
        <row r="34">
          <cell r="B34" t="str">
            <v>Soap A</v>
          </cell>
          <cell r="C34">
            <v>2.2999999999999998</v>
          </cell>
          <cell r="D34">
            <v>7</v>
          </cell>
        </row>
        <row r="35">
          <cell r="B35" t="str">
            <v>Soap A</v>
          </cell>
          <cell r="C35">
            <v>2.2999999999999998</v>
          </cell>
          <cell r="D35">
            <v>1</v>
          </cell>
        </row>
        <row r="36">
          <cell r="B36" t="str">
            <v>Soap A</v>
          </cell>
          <cell r="C36">
            <v>2.2999999999999998</v>
          </cell>
          <cell r="D36">
            <v>4</v>
          </cell>
        </row>
        <row r="37">
          <cell r="B37" t="str">
            <v>Soap A</v>
          </cell>
          <cell r="C37">
            <v>2.2999999999999998</v>
          </cell>
          <cell r="D37">
            <v>6</v>
          </cell>
        </row>
        <row r="38">
          <cell r="B38" t="str">
            <v>Soap A</v>
          </cell>
          <cell r="C38">
            <v>2.2999999999999998</v>
          </cell>
          <cell r="D38">
            <v>6</v>
          </cell>
        </row>
        <row r="39">
          <cell r="B39" t="str">
            <v>Soap A</v>
          </cell>
          <cell r="C39">
            <v>2.2999999999999998</v>
          </cell>
          <cell r="D39">
            <v>0</v>
          </cell>
        </row>
        <row r="40">
          <cell r="B40" t="str">
            <v>Soap A</v>
          </cell>
          <cell r="C40">
            <v>2.2999999999999998</v>
          </cell>
          <cell r="D40">
            <v>6</v>
          </cell>
        </row>
        <row r="41">
          <cell r="B41" t="str">
            <v>Soap A</v>
          </cell>
          <cell r="C41">
            <v>2.2999999999999998</v>
          </cell>
          <cell r="D41">
            <v>1</v>
          </cell>
        </row>
        <row r="42">
          <cell r="B42" t="str">
            <v>Soap A</v>
          </cell>
          <cell r="C42">
            <v>2.2999999999999998</v>
          </cell>
          <cell r="D42">
            <v>2</v>
          </cell>
        </row>
        <row r="43">
          <cell r="B43" t="str">
            <v>Soap A</v>
          </cell>
          <cell r="C43">
            <v>2.2999999999999998</v>
          </cell>
          <cell r="D43">
            <v>7</v>
          </cell>
        </row>
        <row r="44">
          <cell r="B44" t="str">
            <v>Soap A</v>
          </cell>
          <cell r="C44">
            <v>2.2999999999999998</v>
          </cell>
          <cell r="D44">
            <v>0</v>
          </cell>
        </row>
        <row r="45">
          <cell r="B45" t="str">
            <v>Soap A</v>
          </cell>
          <cell r="C45">
            <v>2.2999999999999998</v>
          </cell>
          <cell r="D45">
            <v>6</v>
          </cell>
        </row>
        <row r="46">
          <cell r="B46" t="str">
            <v>Soap A</v>
          </cell>
          <cell r="C46">
            <v>2.2999999999999998</v>
          </cell>
          <cell r="D46">
            <v>0</v>
          </cell>
        </row>
        <row r="47">
          <cell r="B47" t="str">
            <v>Soap A</v>
          </cell>
          <cell r="C47">
            <v>2.2999999999999998</v>
          </cell>
          <cell r="D47">
            <v>6</v>
          </cell>
        </row>
        <row r="48">
          <cell r="B48" t="str">
            <v>Soap A</v>
          </cell>
          <cell r="C48">
            <v>2.2999999999999998</v>
          </cell>
          <cell r="D48">
            <v>2</v>
          </cell>
        </row>
        <row r="49">
          <cell r="B49" t="str">
            <v>Soap A</v>
          </cell>
          <cell r="C49">
            <v>2.2999999999999998</v>
          </cell>
          <cell r="D49">
            <v>1</v>
          </cell>
        </row>
        <row r="50">
          <cell r="B50" t="str">
            <v>Soap A</v>
          </cell>
          <cell r="C50">
            <v>2.2999999999999998</v>
          </cell>
          <cell r="D50">
            <v>7</v>
          </cell>
        </row>
        <row r="51">
          <cell r="B51" t="str">
            <v>Soap A</v>
          </cell>
          <cell r="C51">
            <v>2.2999999999999998</v>
          </cell>
          <cell r="D51">
            <v>2</v>
          </cell>
        </row>
        <row r="52">
          <cell r="B52" t="str">
            <v>Soap A</v>
          </cell>
          <cell r="C52">
            <v>2.2999999999999998</v>
          </cell>
          <cell r="D52">
            <v>1</v>
          </cell>
        </row>
        <row r="53">
          <cell r="B53" t="str">
            <v>Soap A</v>
          </cell>
          <cell r="C53">
            <v>2.2999999999999998</v>
          </cell>
          <cell r="D53">
            <v>3</v>
          </cell>
        </row>
        <row r="54">
          <cell r="B54" t="str">
            <v>Soap A</v>
          </cell>
          <cell r="C54">
            <v>2.2999999999999998</v>
          </cell>
          <cell r="D54">
            <v>7</v>
          </cell>
        </row>
        <row r="55">
          <cell r="B55" t="str">
            <v>Soap A</v>
          </cell>
          <cell r="C55">
            <v>2.2999999999999998</v>
          </cell>
          <cell r="D55">
            <v>5</v>
          </cell>
        </row>
        <row r="56">
          <cell r="B56" t="str">
            <v>Soap A</v>
          </cell>
          <cell r="C56">
            <v>2.2999999999999998</v>
          </cell>
          <cell r="D56">
            <v>7</v>
          </cell>
        </row>
        <row r="57">
          <cell r="B57" t="str">
            <v>Soap A</v>
          </cell>
          <cell r="C57">
            <v>2.2999999999999998</v>
          </cell>
          <cell r="D57">
            <v>1</v>
          </cell>
        </row>
        <row r="58">
          <cell r="B58" t="str">
            <v>Soap A</v>
          </cell>
          <cell r="C58">
            <v>2.2999999999999998</v>
          </cell>
          <cell r="D58">
            <v>2</v>
          </cell>
        </row>
        <row r="59">
          <cell r="B59" t="str">
            <v>Soap A</v>
          </cell>
          <cell r="C59">
            <v>2.2999999999999998</v>
          </cell>
          <cell r="D59">
            <v>4</v>
          </cell>
        </row>
        <row r="60">
          <cell r="B60" t="str">
            <v>Soap A</v>
          </cell>
          <cell r="C60">
            <v>2.2999999999999998</v>
          </cell>
          <cell r="D60">
            <v>6</v>
          </cell>
        </row>
        <row r="61">
          <cell r="B61" t="str">
            <v>Soap B</v>
          </cell>
          <cell r="C61">
            <v>2.5</v>
          </cell>
          <cell r="D61">
            <v>8</v>
          </cell>
        </row>
        <row r="62">
          <cell r="B62" t="str">
            <v>Soap B</v>
          </cell>
          <cell r="C62">
            <v>2.5</v>
          </cell>
          <cell r="D62">
            <v>9</v>
          </cell>
        </row>
        <row r="63">
          <cell r="B63" t="str">
            <v>Soap B</v>
          </cell>
          <cell r="C63">
            <v>2.5</v>
          </cell>
          <cell r="D63">
            <v>6</v>
          </cell>
        </row>
        <row r="64">
          <cell r="B64" t="str">
            <v>Soap B</v>
          </cell>
          <cell r="C64">
            <v>2.5</v>
          </cell>
          <cell r="D64">
            <v>6</v>
          </cell>
        </row>
        <row r="65">
          <cell r="B65" t="str">
            <v>Soap B</v>
          </cell>
          <cell r="C65">
            <v>2.5</v>
          </cell>
          <cell r="D65">
            <v>9</v>
          </cell>
        </row>
        <row r="66">
          <cell r="B66" t="str">
            <v>Soap B</v>
          </cell>
          <cell r="C66">
            <v>2.5</v>
          </cell>
          <cell r="D66">
            <v>6</v>
          </cell>
        </row>
        <row r="67">
          <cell r="B67" t="str">
            <v>Soap B</v>
          </cell>
          <cell r="C67">
            <v>2.5</v>
          </cell>
          <cell r="D67">
            <v>9</v>
          </cell>
        </row>
        <row r="68">
          <cell r="B68" t="str">
            <v>Soap B</v>
          </cell>
          <cell r="C68">
            <v>2.5</v>
          </cell>
          <cell r="D68">
            <v>6</v>
          </cell>
        </row>
        <row r="69">
          <cell r="B69" t="str">
            <v>Soap B</v>
          </cell>
          <cell r="C69">
            <v>2.5</v>
          </cell>
          <cell r="D69">
            <v>6</v>
          </cell>
        </row>
        <row r="70">
          <cell r="B70" t="str">
            <v>Soap B</v>
          </cell>
          <cell r="C70">
            <v>2.5</v>
          </cell>
          <cell r="D70">
            <v>9</v>
          </cell>
        </row>
        <row r="71">
          <cell r="B71" t="str">
            <v>Soap B</v>
          </cell>
          <cell r="C71">
            <v>2.5</v>
          </cell>
          <cell r="D71">
            <v>7</v>
          </cell>
        </row>
        <row r="72">
          <cell r="B72" t="str">
            <v>Soap B</v>
          </cell>
          <cell r="C72">
            <v>2.5</v>
          </cell>
          <cell r="D72">
            <v>9</v>
          </cell>
        </row>
        <row r="73">
          <cell r="B73" t="str">
            <v>Soap B</v>
          </cell>
          <cell r="C73">
            <v>2.5</v>
          </cell>
          <cell r="D73">
            <v>7</v>
          </cell>
        </row>
        <row r="74">
          <cell r="B74" t="str">
            <v>Soap B</v>
          </cell>
          <cell r="C74">
            <v>2.5</v>
          </cell>
          <cell r="D74">
            <v>6</v>
          </cell>
        </row>
        <row r="75">
          <cell r="B75" t="str">
            <v>Soap B</v>
          </cell>
          <cell r="C75">
            <v>2.5</v>
          </cell>
          <cell r="D75">
            <v>9</v>
          </cell>
        </row>
        <row r="76">
          <cell r="B76" t="str">
            <v>Soap B</v>
          </cell>
          <cell r="C76">
            <v>2.5</v>
          </cell>
          <cell r="D76">
            <v>9</v>
          </cell>
        </row>
        <row r="77">
          <cell r="B77" t="str">
            <v>Soap B</v>
          </cell>
          <cell r="C77">
            <v>2.5</v>
          </cell>
          <cell r="D77">
            <v>7</v>
          </cell>
        </row>
        <row r="78">
          <cell r="B78" t="str">
            <v>Soap B</v>
          </cell>
          <cell r="C78">
            <v>2.5</v>
          </cell>
          <cell r="D78">
            <v>8</v>
          </cell>
        </row>
        <row r="79">
          <cell r="B79" t="str">
            <v>Soap B</v>
          </cell>
          <cell r="C79">
            <v>2.5</v>
          </cell>
          <cell r="D79">
            <v>9</v>
          </cell>
        </row>
        <row r="80">
          <cell r="B80" t="str">
            <v>Soap B</v>
          </cell>
          <cell r="C80">
            <v>3</v>
          </cell>
          <cell r="D80">
            <v>6</v>
          </cell>
        </row>
        <row r="81">
          <cell r="B81" t="str">
            <v>Soap B</v>
          </cell>
          <cell r="C81">
            <v>3</v>
          </cell>
          <cell r="D81">
            <v>4</v>
          </cell>
        </row>
        <row r="82">
          <cell r="B82" t="str">
            <v>Soap B</v>
          </cell>
          <cell r="C82">
            <v>3</v>
          </cell>
          <cell r="D82">
            <v>6</v>
          </cell>
        </row>
        <row r="83">
          <cell r="B83" t="str">
            <v>Soap B</v>
          </cell>
          <cell r="C83">
            <v>3</v>
          </cell>
          <cell r="D83">
            <v>4</v>
          </cell>
        </row>
        <row r="84">
          <cell r="B84" t="str">
            <v>Soap B</v>
          </cell>
          <cell r="C84">
            <v>3</v>
          </cell>
          <cell r="D84">
            <v>7</v>
          </cell>
        </row>
        <row r="85">
          <cell r="B85" t="str">
            <v>Soap B</v>
          </cell>
          <cell r="C85">
            <v>3</v>
          </cell>
          <cell r="D85">
            <v>4</v>
          </cell>
        </row>
        <row r="86">
          <cell r="B86" t="str">
            <v>Soap B</v>
          </cell>
          <cell r="C86">
            <v>3</v>
          </cell>
          <cell r="D86">
            <v>4</v>
          </cell>
        </row>
        <row r="87">
          <cell r="B87" t="str">
            <v>Soap B</v>
          </cell>
          <cell r="C87">
            <v>3</v>
          </cell>
          <cell r="D87">
            <v>6</v>
          </cell>
        </row>
        <row r="88">
          <cell r="B88" t="str">
            <v>Soap B</v>
          </cell>
          <cell r="C88">
            <v>3</v>
          </cell>
          <cell r="D88">
            <v>6</v>
          </cell>
        </row>
        <row r="89">
          <cell r="B89" t="str">
            <v>Soap B</v>
          </cell>
          <cell r="C89">
            <v>3</v>
          </cell>
          <cell r="D89">
            <v>6</v>
          </cell>
        </row>
        <row r="90">
          <cell r="B90" t="str">
            <v>Soap B</v>
          </cell>
          <cell r="C90">
            <v>3</v>
          </cell>
          <cell r="D90">
            <v>5</v>
          </cell>
        </row>
        <row r="91">
          <cell r="B91" t="str">
            <v>Soap B</v>
          </cell>
          <cell r="C91">
            <v>3</v>
          </cell>
          <cell r="D91">
            <v>5</v>
          </cell>
        </row>
        <row r="92">
          <cell r="B92" t="str">
            <v>Soap B</v>
          </cell>
          <cell r="C92">
            <v>3</v>
          </cell>
          <cell r="D92">
            <v>6</v>
          </cell>
        </row>
        <row r="93">
          <cell r="B93" t="str">
            <v>Soap B</v>
          </cell>
          <cell r="C93">
            <v>3</v>
          </cell>
          <cell r="D93">
            <v>7</v>
          </cell>
        </row>
        <row r="94">
          <cell r="B94" t="str">
            <v>Soap B</v>
          </cell>
          <cell r="C94">
            <v>3</v>
          </cell>
          <cell r="D94">
            <v>7</v>
          </cell>
        </row>
        <row r="95">
          <cell r="B95" t="str">
            <v>Soap B</v>
          </cell>
          <cell r="C95">
            <v>3</v>
          </cell>
          <cell r="D95">
            <v>5</v>
          </cell>
        </row>
        <row r="96">
          <cell r="B96" t="str">
            <v>Soap B</v>
          </cell>
          <cell r="C96">
            <v>3</v>
          </cell>
          <cell r="D96">
            <v>6</v>
          </cell>
        </row>
        <row r="97">
          <cell r="B97" t="str">
            <v>Soap B</v>
          </cell>
          <cell r="C97">
            <v>3</v>
          </cell>
          <cell r="D97">
            <v>7</v>
          </cell>
        </row>
        <row r="98">
          <cell r="B98" t="str">
            <v>Soap B</v>
          </cell>
          <cell r="C98">
            <v>3</v>
          </cell>
          <cell r="D98">
            <v>7</v>
          </cell>
        </row>
        <row r="99">
          <cell r="B99" t="str">
            <v>Soap B</v>
          </cell>
          <cell r="C99">
            <v>3</v>
          </cell>
          <cell r="D99">
            <v>7</v>
          </cell>
        </row>
        <row r="100">
          <cell r="B100" t="str">
            <v>Soap B</v>
          </cell>
          <cell r="C100">
            <v>3.5</v>
          </cell>
          <cell r="D100">
            <v>1</v>
          </cell>
        </row>
        <row r="101">
          <cell r="B101" t="str">
            <v>Soap B</v>
          </cell>
          <cell r="C101">
            <v>3.5</v>
          </cell>
          <cell r="D101">
            <v>1</v>
          </cell>
        </row>
        <row r="102">
          <cell r="B102" t="str">
            <v>Soap B</v>
          </cell>
          <cell r="C102">
            <v>3.5</v>
          </cell>
          <cell r="D102">
            <v>2</v>
          </cell>
        </row>
        <row r="103">
          <cell r="B103" t="str">
            <v>Soap B</v>
          </cell>
          <cell r="C103">
            <v>3.5</v>
          </cell>
          <cell r="D103">
            <v>1</v>
          </cell>
        </row>
        <row r="104">
          <cell r="B104" t="str">
            <v>Soap B</v>
          </cell>
          <cell r="C104">
            <v>3.5</v>
          </cell>
          <cell r="D104">
            <v>2</v>
          </cell>
        </row>
        <row r="105">
          <cell r="B105" t="str">
            <v>Soap B</v>
          </cell>
          <cell r="C105">
            <v>3.5</v>
          </cell>
          <cell r="D105">
            <v>1</v>
          </cell>
        </row>
        <row r="106">
          <cell r="B106" t="str">
            <v>Soap B</v>
          </cell>
          <cell r="C106">
            <v>3.5</v>
          </cell>
          <cell r="D106">
            <v>2</v>
          </cell>
        </row>
        <row r="107">
          <cell r="B107" t="str">
            <v>Soap B</v>
          </cell>
          <cell r="C107">
            <v>3.5</v>
          </cell>
          <cell r="D107">
            <v>1</v>
          </cell>
        </row>
        <row r="108">
          <cell r="B108" t="str">
            <v>Soap B</v>
          </cell>
          <cell r="C108">
            <v>3.5</v>
          </cell>
          <cell r="D108">
            <v>2</v>
          </cell>
        </row>
        <row r="109">
          <cell r="B109" t="str">
            <v>Soap B</v>
          </cell>
          <cell r="C109">
            <v>3.5</v>
          </cell>
          <cell r="D109">
            <v>1</v>
          </cell>
        </row>
        <row r="110">
          <cell r="B110" t="str">
            <v>Soap B</v>
          </cell>
          <cell r="C110">
            <v>3.5</v>
          </cell>
          <cell r="D110">
            <v>1</v>
          </cell>
        </row>
        <row r="111">
          <cell r="B111" t="str">
            <v>Soap B</v>
          </cell>
          <cell r="C111">
            <v>3.5</v>
          </cell>
          <cell r="D111">
            <v>2</v>
          </cell>
        </row>
        <row r="112">
          <cell r="B112" t="str">
            <v>Soap B</v>
          </cell>
          <cell r="C112">
            <v>3.5</v>
          </cell>
          <cell r="D112">
            <v>1</v>
          </cell>
        </row>
        <row r="113">
          <cell r="B113" t="str">
            <v>Soap B</v>
          </cell>
          <cell r="C113">
            <v>3.5</v>
          </cell>
          <cell r="D113">
            <v>2</v>
          </cell>
        </row>
        <row r="114">
          <cell r="B114" t="str">
            <v>Soap B</v>
          </cell>
          <cell r="C114">
            <v>3.5</v>
          </cell>
          <cell r="D114">
            <v>1</v>
          </cell>
        </row>
        <row r="115">
          <cell r="B115" t="str">
            <v>Soap B</v>
          </cell>
          <cell r="C115">
            <v>3.5</v>
          </cell>
          <cell r="D115">
            <v>1</v>
          </cell>
        </row>
        <row r="116">
          <cell r="B116" t="str">
            <v>Soap B</v>
          </cell>
          <cell r="C116">
            <v>3.5</v>
          </cell>
          <cell r="D116">
            <v>1</v>
          </cell>
        </row>
        <row r="117">
          <cell r="B117" t="str">
            <v>Soap B</v>
          </cell>
          <cell r="C117">
            <v>3.5</v>
          </cell>
          <cell r="D117">
            <v>2</v>
          </cell>
        </row>
        <row r="118">
          <cell r="B118" t="str">
            <v>Soap B</v>
          </cell>
          <cell r="C118">
            <v>3.5</v>
          </cell>
          <cell r="D118">
            <v>1</v>
          </cell>
        </row>
        <row r="119">
          <cell r="B119" t="str">
            <v>Soap B</v>
          </cell>
          <cell r="C119">
            <v>3.5</v>
          </cell>
          <cell r="D119">
            <v>2</v>
          </cell>
        </row>
      </sheetData>
      <sheetData sheetId="2" refreshError="1"/>
      <sheetData sheetId="3" refreshError="1"/>
      <sheetData sheetId="4" refreshError="1"/>
      <sheetData sheetId="5">
        <row r="15">
          <cell r="A15">
            <v>1</v>
          </cell>
          <cell r="B15" t="str">
            <v>Soap A</v>
          </cell>
          <cell r="C15">
            <v>2</v>
          </cell>
          <cell r="D15">
            <v>9</v>
          </cell>
          <cell r="E15">
            <v>1</v>
          </cell>
          <cell r="F15">
            <v>5</v>
          </cell>
          <cell r="G15">
            <v>5</v>
          </cell>
          <cell r="H15">
            <v>2</v>
          </cell>
          <cell r="I15">
            <v>0.49614331465336126</v>
          </cell>
          <cell r="J15">
            <v>0.59271310737004301</v>
          </cell>
          <cell r="K15">
            <v>-1.0614362781511688</v>
          </cell>
          <cell r="P15">
            <v>1</v>
          </cell>
          <cell r="Q15">
            <v>9</v>
          </cell>
        </row>
        <row r="16">
          <cell r="A16">
            <v>2</v>
          </cell>
          <cell r="B16" t="str">
            <v>Soap A</v>
          </cell>
          <cell r="C16">
            <v>2</v>
          </cell>
          <cell r="D16">
            <v>10</v>
          </cell>
          <cell r="E16">
            <v>1</v>
          </cell>
          <cell r="F16">
            <v>7</v>
          </cell>
          <cell r="G16">
            <v>5</v>
          </cell>
          <cell r="H16">
            <v>1</v>
          </cell>
          <cell r="I16">
            <v>1.5510065782406881</v>
          </cell>
          <cell r="J16">
            <v>0.59271310737004301</v>
          </cell>
          <cell r="K16">
            <v>-1.6131961055601465</v>
          </cell>
          <cell r="P16">
            <v>1</v>
          </cell>
          <cell r="Q16">
            <v>10</v>
          </cell>
        </row>
        <row r="17">
          <cell r="A17">
            <v>3</v>
          </cell>
          <cell r="B17" t="str">
            <v>Soap A</v>
          </cell>
          <cell r="C17">
            <v>2.2999999999999998</v>
          </cell>
          <cell r="D17">
            <v>4</v>
          </cell>
          <cell r="E17">
            <v>1</v>
          </cell>
          <cell r="F17">
            <v>3</v>
          </cell>
          <cell r="G17">
            <v>5</v>
          </cell>
          <cell r="H17">
            <v>4</v>
          </cell>
          <cell r="I17">
            <v>-0.5587199489339657</v>
          </cell>
          <cell r="J17">
            <v>0.59271310737004301</v>
          </cell>
          <cell r="K17">
            <v>4.2083376666786312E-2</v>
          </cell>
          <cell r="P17">
            <v>2</v>
          </cell>
          <cell r="Q17">
            <v>5.1999999999999993</v>
          </cell>
        </row>
        <row r="18">
          <cell r="A18">
            <v>4</v>
          </cell>
          <cell r="B18" t="str">
            <v>Soap A</v>
          </cell>
          <cell r="C18">
            <v>2</v>
          </cell>
          <cell r="D18">
            <v>3</v>
          </cell>
          <cell r="E18">
            <v>1</v>
          </cell>
          <cell r="F18">
            <v>4</v>
          </cell>
          <cell r="G18">
            <v>5</v>
          </cell>
          <cell r="H18">
            <v>4</v>
          </cell>
          <cell r="I18">
            <v>-3.1288317140302224E-2</v>
          </cell>
          <cell r="J18">
            <v>0.59271310737004301</v>
          </cell>
          <cell r="K18">
            <v>4.2083376666786312E-2</v>
          </cell>
          <cell r="P18">
            <v>2</v>
          </cell>
          <cell r="Q18">
            <v>3</v>
          </cell>
        </row>
        <row r="19">
          <cell r="A19">
            <v>5</v>
          </cell>
          <cell r="B19" t="str">
            <v>Soap A</v>
          </cell>
          <cell r="C19">
            <v>2.2999999999999998</v>
          </cell>
          <cell r="D19">
            <v>7</v>
          </cell>
          <cell r="E19">
            <v>1</v>
          </cell>
          <cell r="F19">
            <v>6</v>
          </cell>
          <cell r="G19">
            <v>5</v>
          </cell>
          <cell r="H19">
            <v>2</v>
          </cell>
          <cell r="I19">
            <v>1.0235749464470247</v>
          </cell>
          <cell r="J19">
            <v>0.59271310737004301</v>
          </cell>
          <cell r="K19">
            <v>-1.0614362781511688</v>
          </cell>
          <cell r="P19">
            <v>1</v>
          </cell>
          <cell r="Q19">
            <v>9.0999999999999979</v>
          </cell>
        </row>
        <row r="20">
          <cell r="A20">
            <v>6</v>
          </cell>
          <cell r="B20" t="str">
            <v>Soap A</v>
          </cell>
          <cell r="C20">
            <v>2.2999999999999998</v>
          </cell>
          <cell r="D20">
            <v>3</v>
          </cell>
          <cell r="E20">
            <v>1</v>
          </cell>
          <cell r="F20">
            <v>5</v>
          </cell>
          <cell r="G20">
            <v>6</v>
          </cell>
          <cell r="H20">
            <v>5</v>
          </cell>
          <cell r="I20">
            <v>0.49614331465336126</v>
          </cell>
          <cell r="J20">
            <v>1.1185788718036149</v>
          </cell>
          <cell r="K20">
            <v>0.59384320407576385</v>
          </cell>
          <cell r="P20">
            <v>2</v>
          </cell>
          <cell r="Q20">
            <v>3.8999999999999995</v>
          </cell>
        </row>
        <row r="21">
          <cell r="A21">
            <v>7</v>
          </cell>
          <cell r="B21" t="str">
            <v>Soap A</v>
          </cell>
          <cell r="C21">
            <v>2</v>
          </cell>
          <cell r="D21">
            <v>0</v>
          </cell>
          <cell r="E21">
            <v>1</v>
          </cell>
          <cell r="F21">
            <v>3</v>
          </cell>
          <cell r="G21">
            <v>1</v>
          </cell>
          <cell r="H21">
            <v>7</v>
          </cell>
          <cell r="I21">
            <v>-0.5587199489339657</v>
          </cell>
          <cell r="J21">
            <v>-1.5107499503642448</v>
          </cell>
          <cell r="K21">
            <v>1.6973628588937191</v>
          </cell>
          <cell r="P21">
            <v>3</v>
          </cell>
          <cell r="Q21">
            <v>0</v>
          </cell>
        </row>
        <row r="22">
          <cell r="A22">
            <v>8</v>
          </cell>
          <cell r="B22" t="str">
            <v>Soap B</v>
          </cell>
          <cell r="C22">
            <v>2.5</v>
          </cell>
          <cell r="D22">
            <v>8</v>
          </cell>
          <cell r="E22">
            <v>1.5</v>
          </cell>
          <cell r="F22">
            <v>6</v>
          </cell>
          <cell r="G22">
            <v>3</v>
          </cell>
          <cell r="H22">
            <v>2</v>
          </cell>
          <cell r="I22">
            <v>1.0235749464470247</v>
          </cell>
          <cell r="J22">
            <v>-0.45901842149710087</v>
          </cell>
          <cell r="K22">
            <v>-1.0614362781511688</v>
          </cell>
          <cell r="P22">
            <v>1</v>
          </cell>
          <cell r="Q22">
            <v>8</v>
          </cell>
        </row>
        <row r="23">
          <cell r="A23">
            <v>9</v>
          </cell>
          <cell r="B23" t="str">
            <v>Soap A</v>
          </cell>
          <cell r="C23">
            <v>2.2999999999999998</v>
          </cell>
          <cell r="D23">
            <v>7</v>
          </cell>
          <cell r="E23">
            <v>1</v>
          </cell>
          <cell r="F23">
            <v>7</v>
          </cell>
          <cell r="G23">
            <v>5</v>
          </cell>
          <cell r="H23">
            <v>3</v>
          </cell>
          <cell r="I23">
            <v>1.5510065782406881</v>
          </cell>
          <cell r="J23">
            <v>0.59271310737004301</v>
          </cell>
          <cell r="K23">
            <v>-0.50967645074219126</v>
          </cell>
          <cell r="P23">
            <v>1</v>
          </cell>
          <cell r="Q23">
            <v>9.0999999999999979</v>
          </cell>
        </row>
        <row r="24">
          <cell r="A24">
            <v>10</v>
          </cell>
          <cell r="B24" t="str">
            <v>Soap B</v>
          </cell>
          <cell r="C24">
            <v>2.5</v>
          </cell>
          <cell r="D24">
            <v>9</v>
          </cell>
          <cell r="E24">
            <v>1.5</v>
          </cell>
          <cell r="F24">
            <v>5</v>
          </cell>
          <cell r="G24">
            <v>3</v>
          </cell>
          <cell r="H24">
            <v>2</v>
          </cell>
          <cell r="I24">
            <v>0.49614331465336126</v>
          </cell>
          <cell r="J24">
            <v>-0.45901842149710087</v>
          </cell>
          <cell r="K24">
            <v>-1.0614362781511688</v>
          </cell>
          <cell r="P24">
            <v>1</v>
          </cell>
          <cell r="Q24">
            <v>9</v>
          </cell>
        </row>
        <row r="25">
          <cell r="A25">
            <v>11</v>
          </cell>
          <cell r="B25" t="str">
            <v>Soap B</v>
          </cell>
          <cell r="C25">
            <v>3</v>
          </cell>
          <cell r="D25">
            <v>6</v>
          </cell>
          <cell r="E25">
            <v>1.5</v>
          </cell>
          <cell r="F25">
            <v>5</v>
          </cell>
          <cell r="G25">
            <v>6</v>
          </cell>
          <cell r="H25">
            <v>4</v>
          </cell>
          <cell r="I25">
            <v>0.49614331465336126</v>
          </cell>
          <cell r="J25">
            <v>1.1185788718036149</v>
          </cell>
          <cell r="K25">
            <v>4.2083376666786312E-2</v>
          </cell>
          <cell r="P25">
            <v>2</v>
          </cell>
          <cell r="Q25">
            <v>9</v>
          </cell>
        </row>
        <row r="26">
          <cell r="A26">
            <v>12</v>
          </cell>
          <cell r="B26" t="str">
            <v>Soap B</v>
          </cell>
          <cell r="C26">
            <v>2.5</v>
          </cell>
          <cell r="D26">
            <v>6</v>
          </cell>
          <cell r="E26">
            <v>1.5</v>
          </cell>
          <cell r="F26">
            <v>3</v>
          </cell>
          <cell r="G26">
            <v>7</v>
          </cell>
          <cell r="H26">
            <v>5</v>
          </cell>
          <cell r="I26">
            <v>-0.5587199489339657</v>
          </cell>
          <cell r="J26">
            <v>1.644444636237187</v>
          </cell>
          <cell r="K26">
            <v>0.59384320407576385</v>
          </cell>
          <cell r="P26">
            <v>2</v>
          </cell>
          <cell r="Q26">
            <v>6</v>
          </cell>
        </row>
        <row r="27">
          <cell r="A27">
            <v>13</v>
          </cell>
          <cell r="B27" t="str">
            <v>Soap A</v>
          </cell>
          <cell r="C27">
            <v>2.2999999999999998</v>
          </cell>
          <cell r="D27">
            <v>1</v>
          </cell>
          <cell r="E27">
            <v>1</v>
          </cell>
          <cell r="F27">
            <v>2</v>
          </cell>
          <cell r="G27">
            <v>3</v>
          </cell>
          <cell r="H27">
            <v>7</v>
          </cell>
          <cell r="I27">
            <v>-1.0861515807276292</v>
          </cell>
          <cell r="J27">
            <v>-0.45901842149710087</v>
          </cell>
          <cell r="K27">
            <v>1.6973628588937191</v>
          </cell>
          <cell r="P27">
            <v>3</v>
          </cell>
          <cell r="Q27">
            <v>1.2999999999999998</v>
          </cell>
        </row>
        <row r="28">
          <cell r="A28">
            <v>14</v>
          </cell>
          <cell r="B28" t="str">
            <v>Soap B</v>
          </cell>
          <cell r="C28">
            <v>3</v>
          </cell>
          <cell r="D28">
            <v>4</v>
          </cell>
          <cell r="E28">
            <v>1.5</v>
          </cell>
          <cell r="F28">
            <v>3</v>
          </cell>
          <cell r="G28">
            <v>7</v>
          </cell>
          <cell r="H28">
            <v>5</v>
          </cell>
          <cell r="I28">
            <v>-0.5587199489339657</v>
          </cell>
          <cell r="J28">
            <v>1.644444636237187</v>
          </cell>
          <cell r="K28">
            <v>0.59384320407576385</v>
          </cell>
          <cell r="P28">
            <v>2</v>
          </cell>
          <cell r="Q28">
            <v>6</v>
          </cell>
        </row>
        <row r="29">
          <cell r="A29">
            <v>15</v>
          </cell>
          <cell r="B29" t="str">
            <v>Soap B</v>
          </cell>
          <cell r="C29">
            <v>2.5</v>
          </cell>
          <cell r="D29">
            <v>6</v>
          </cell>
          <cell r="E29">
            <v>1.5</v>
          </cell>
          <cell r="F29">
            <v>5</v>
          </cell>
          <cell r="G29">
            <v>6</v>
          </cell>
          <cell r="H29">
            <v>5</v>
          </cell>
          <cell r="I29">
            <v>0.49614331465336126</v>
          </cell>
          <cell r="J29">
            <v>1.1185788718036149</v>
          </cell>
          <cell r="K29">
            <v>0.59384320407576385</v>
          </cell>
          <cell r="P29">
            <v>2</v>
          </cell>
          <cell r="Q29">
            <v>6</v>
          </cell>
        </row>
        <row r="30">
          <cell r="A30">
            <v>16</v>
          </cell>
          <cell r="B30" t="str">
            <v>Soap A</v>
          </cell>
          <cell r="C30">
            <v>2</v>
          </cell>
          <cell r="D30">
            <v>10</v>
          </cell>
          <cell r="E30">
            <v>1</v>
          </cell>
          <cell r="F30">
            <v>5</v>
          </cell>
          <cell r="G30">
            <v>5</v>
          </cell>
          <cell r="H30">
            <v>1</v>
          </cell>
          <cell r="I30">
            <v>0.49614331465336126</v>
          </cell>
          <cell r="J30">
            <v>0.59271310737004301</v>
          </cell>
          <cell r="K30">
            <v>-1.6131961055601465</v>
          </cell>
          <cell r="P30">
            <v>1</v>
          </cell>
          <cell r="Q30">
            <v>10</v>
          </cell>
        </row>
        <row r="31">
          <cell r="A31">
            <v>17</v>
          </cell>
          <cell r="B31" t="str">
            <v>Soap A</v>
          </cell>
          <cell r="C31">
            <v>2.2999999999999998</v>
          </cell>
          <cell r="D31">
            <v>4</v>
          </cell>
          <cell r="E31">
            <v>1</v>
          </cell>
          <cell r="F31">
            <v>4</v>
          </cell>
          <cell r="G31">
            <v>7</v>
          </cell>
          <cell r="H31">
            <v>5</v>
          </cell>
          <cell r="I31">
            <v>-3.1288317140302224E-2</v>
          </cell>
          <cell r="J31">
            <v>1.644444636237187</v>
          </cell>
          <cell r="K31">
            <v>0.59384320407576385</v>
          </cell>
          <cell r="P31">
            <v>2</v>
          </cell>
          <cell r="Q31">
            <v>5.1999999999999993</v>
          </cell>
        </row>
        <row r="32">
          <cell r="A32">
            <v>18</v>
          </cell>
          <cell r="B32" t="str">
            <v>Soap A</v>
          </cell>
          <cell r="C32">
            <v>2.2999999999999998</v>
          </cell>
          <cell r="D32">
            <v>6</v>
          </cell>
          <cell r="E32">
            <v>1</v>
          </cell>
          <cell r="F32">
            <v>4</v>
          </cell>
          <cell r="G32">
            <v>6</v>
          </cell>
          <cell r="H32">
            <v>5</v>
          </cell>
          <cell r="I32">
            <v>-3.1288317140302224E-2</v>
          </cell>
          <cell r="J32">
            <v>1.1185788718036149</v>
          </cell>
          <cell r="K32">
            <v>0.59384320407576385</v>
          </cell>
          <cell r="P32">
            <v>2</v>
          </cell>
          <cell r="Q32">
            <v>7.7999999999999989</v>
          </cell>
        </row>
        <row r="33">
          <cell r="A33">
            <v>19</v>
          </cell>
          <cell r="B33" t="str">
            <v>Soap A</v>
          </cell>
          <cell r="C33">
            <v>2.2999999999999998</v>
          </cell>
          <cell r="D33">
            <v>6</v>
          </cell>
          <cell r="E33">
            <v>1</v>
          </cell>
          <cell r="F33">
            <v>3</v>
          </cell>
          <cell r="G33">
            <v>5</v>
          </cell>
          <cell r="H33">
            <v>3</v>
          </cell>
          <cell r="I33">
            <v>-0.5587199489339657</v>
          </cell>
          <cell r="J33">
            <v>0.59271310737004301</v>
          </cell>
          <cell r="K33">
            <v>-0.50967645074219126</v>
          </cell>
          <cell r="P33">
            <v>2</v>
          </cell>
          <cell r="Q33">
            <v>7.7999999999999989</v>
          </cell>
        </row>
        <row r="34">
          <cell r="A34">
            <v>20</v>
          </cell>
          <cell r="B34" t="str">
            <v>Soap B</v>
          </cell>
          <cell r="C34">
            <v>3.5</v>
          </cell>
          <cell r="D34">
            <v>1</v>
          </cell>
          <cell r="E34">
            <v>1.5</v>
          </cell>
          <cell r="F34">
            <v>1</v>
          </cell>
          <cell r="G34">
            <v>1</v>
          </cell>
          <cell r="H34">
            <v>7</v>
          </cell>
          <cell r="I34">
            <v>-1.6135832125212926</v>
          </cell>
          <cell r="J34">
            <v>-1.5107499503642448</v>
          </cell>
          <cell r="K34">
            <v>1.6973628588937191</v>
          </cell>
          <cell r="P34">
            <v>3</v>
          </cell>
          <cell r="Q34">
            <v>2</v>
          </cell>
        </row>
        <row r="35">
          <cell r="A35">
            <v>21</v>
          </cell>
          <cell r="B35" t="str">
            <v>Soap A</v>
          </cell>
          <cell r="C35">
            <v>2.2999999999999998</v>
          </cell>
          <cell r="D35">
            <v>0</v>
          </cell>
          <cell r="E35">
            <v>1</v>
          </cell>
          <cell r="F35">
            <v>3</v>
          </cell>
          <cell r="G35">
            <v>1</v>
          </cell>
          <cell r="H35">
            <v>5</v>
          </cell>
          <cell r="I35">
            <v>-0.5587199489339657</v>
          </cell>
          <cell r="J35">
            <v>-1.5107499503642448</v>
          </cell>
          <cell r="K35">
            <v>0.59384320407576385</v>
          </cell>
          <cell r="P35">
            <v>3</v>
          </cell>
          <cell r="Q35">
            <v>0</v>
          </cell>
        </row>
        <row r="36">
          <cell r="A36">
            <v>22</v>
          </cell>
          <cell r="B36" t="str">
            <v>Soap B</v>
          </cell>
          <cell r="C36">
            <v>3</v>
          </cell>
          <cell r="D36">
            <v>6</v>
          </cell>
          <cell r="E36">
            <v>1.5</v>
          </cell>
          <cell r="F36">
            <v>4</v>
          </cell>
          <cell r="G36">
            <v>7</v>
          </cell>
          <cell r="H36">
            <v>3</v>
          </cell>
          <cell r="I36">
            <v>-3.1288317140302224E-2</v>
          </cell>
          <cell r="J36">
            <v>1.644444636237187</v>
          </cell>
          <cell r="K36">
            <v>-0.50967645074219126</v>
          </cell>
          <cell r="P36">
            <v>2</v>
          </cell>
          <cell r="Q36">
            <v>9</v>
          </cell>
        </row>
        <row r="37">
          <cell r="A37">
            <v>23</v>
          </cell>
          <cell r="B37" t="str">
            <v>Soap B</v>
          </cell>
          <cell r="C37">
            <v>3</v>
          </cell>
          <cell r="D37">
            <v>4</v>
          </cell>
          <cell r="E37">
            <v>1.5</v>
          </cell>
          <cell r="F37">
            <v>5</v>
          </cell>
          <cell r="G37">
            <v>5</v>
          </cell>
          <cell r="H37">
            <v>4</v>
          </cell>
          <cell r="I37">
            <v>0.49614331465336126</v>
          </cell>
          <cell r="J37">
            <v>0.59271310737004301</v>
          </cell>
          <cell r="K37">
            <v>4.2083376666786312E-2</v>
          </cell>
          <cell r="P37">
            <v>2</v>
          </cell>
          <cell r="Q37">
            <v>6</v>
          </cell>
        </row>
        <row r="38">
          <cell r="A38">
            <v>24</v>
          </cell>
          <cell r="B38" t="str">
            <v>Soap A</v>
          </cell>
          <cell r="C38">
            <v>2.2999999999999998</v>
          </cell>
          <cell r="D38">
            <v>6</v>
          </cell>
          <cell r="E38">
            <v>1</v>
          </cell>
          <cell r="F38">
            <v>6</v>
          </cell>
          <cell r="G38">
            <v>3</v>
          </cell>
          <cell r="H38">
            <v>3</v>
          </cell>
          <cell r="I38">
            <v>1.0235749464470247</v>
          </cell>
          <cell r="J38">
            <v>-0.45901842149710087</v>
          </cell>
          <cell r="K38">
            <v>-0.50967645074219126</v>
          </cell>
          <cell r="P38">
            <v>1</v>
          </cell>
          <cell r="Q38">
            <v>7.7999999999999989</v>
          </cell>
        </row>
        <row r="39">
          <cell r="A39">
            <v>25</v>
          </cell>
          <cell r="B39" t="str">
            <v>Soap A</v>
          </cell>
          <cell r="C39">
            <v>2</v>
          </cell>
          <cell r="D39">
            <v>2</v>
          </cell>
          <cell r="E39">
            <v>1</v>
          </cell>
          <cell r="F39">
            <v>3</v>
          </cell>
          <cell r="G39">
            <v>2</v>
          </cell>
          <cell r="H39">
            <v>5</v>
          </cell>
          <cell r="I39">
            <v>-0.5587199489339657</v>
          </cell>
          <cell r="J39">
            <v>-0.98488418593067284</v>
          </cell>
          <cell r="K39">
            <v>0.59384320407576385</v>
          </cell>
          <cell r="P39">
            <v>3</v>
          </cell>
          <cell r="Q39">
            <v>2</v>
          </cell>
        </row>
        <row r="40">
          <cell r="A40">
            <v>26</v>
          </cell>
          <cell r="B40" t="str">
            <v>Soap A</v>
          </cell>
          <cell r="C40">
            <v>2</v>
          </cell>
          <cell r="D40">
            <v>2</v>
          </cell>
          <cell r="E40">
            <v>1</v>
          </cell>
          <cell r="F40">
            <v>3</v>
          </cell>
          <cell r="G40">
            <v>2</v>
          </cell>
          <cell r="H40">
            <v>5</v>
          </cell>
          <cell r="I40">
            <v>-0.5587199489339657</v>
          </cell>
          <cell r="J40">
            <v>-0.98488418593067284</v>
          </cell>
          <cell r="K40">
            <v>0.59384320407576385</v>
          </cell>
          <cell r="P40">
            <v>3</v>
          </cell>
          <cell r="Q40">
            <v>2</v>
          </cell>
        </row>
        <row r="41">
          <cell r="A41">
            <v>27</v>
          </cell>
          <cell r="B41" t="str">
            <v>Soap B</v>
          </cell>
          <cell r="C41">
            <v>3.5</v>
          </cell>
          <cell r="D41">
            <v>1</v>
          </cell>
          <cell r="E41">
            <v>1.5</v>
          </cell>
          <cell r="F41">
            <v>2</v>
          </cell>
          <cell r="G41">
            <v>2</v>
          </cell>
          <cell r="H41">
            <v>7</v>
          </cell>
          <cell r="I41">
            <v>-1.0861515807276292</v>
          </cell>
          <cell r="J41">
            <v>-0.98488418593067284</v>
          </cell>
          <cell r="K41">
            <v>1.6973628588937191</v>
          </cell>
          <cell r="P41">
            <v>3</v>
          </cell>
          <cell r="Q41">
            <v>2</v>
          </cell>
        </row>
        <row r="42">
          <cell r="A42">
            <v>28</v>
          </cell>
          <cell r="B42" t="str">
            <v>Soap A</v>
          </cell>
          <cell r="C42">
            <v>2</v>
          </cell>
          <cell r="D42">
            <v>2</v>
          </cell>
          <cell r="E42">
            <v>1</v>
          </cell>
          <cell r="F42">
            <v>5</v>
          </cell>
          <cell r="G42">
            <v>5</v>
          </cell>
          <cell r="H42">
            <v>3</v>
          </cell>
          <cell r="I42">
            <v>0.49614331465336126</v>
          </cell>
          <cell r="J42">
            <v>0.59271310737004301</v>
          </cell>
          <cell r="K42">
            <v>-0.50967645074219126</v>
          </cell>
          <cell r="P42">
            <v>1</v>
          </cell>
          <cell r="Q42">
            <v>2</v>
          </cell>
        </row>
        <row r="43">
          <cell r="A43">
            <v>29</v>
          </cell>
          <cell r="B43" t="str">
            <v>Soap A</v>
          </cell>
          <cell r="C43">
            <v>2.2999999999999998</v>
          </cell>
          <cell r="D43">
            <v>1</v>
          </cell>
          <cell r="E43">
            <v>1</v>
          </cell>
          <cell r="F43">
            <v>3</v>
          </cell>
          <cell r="G43">
            <v>2</v>
          </cell>
          <cell r="H43">
            <v>7</v>
          </cell>
          <cell r="I43">
            <v>-0.5587199489339657</v>
          </cell>
          <cell r="J43">
            <v>-0.98488418593067284</v>
          </cell>
          <cell r="K43">
            <v>1.6973628588937191</v>
          </cell>
          <cell r="P43">
            <v>3</v>
          </cell>
          <cell r="Q43">
            <v>1.2999999999999998</v>
          </cell>
        </row>
        <row r="44">
          <cell r="A44">
            <v>30</v>
          </cell>
          <cell r="B44" t="str">
            <v>Soap A</v>
          </cell>
          <cell r="C44">
            <v>2</v>
          </cell>
          <cell r="D44">
            <v>2</v>
          </cell>
          <cell r="E44">
            <v>1</v>
          </cell>
          <cell r="F44">
            <v>2</v>
          </cell>
          <cell r="G44">
            <v>1</v>
          </cell>
          <cell r="H44">
            <v>5</v>
          </cell>
          <cell r="I44">
            <v>-1.0861515807276292</v>
          </cell>
          <cell r="J44">
            <v>-1.5107499503642448</v>
          </cell>
          <cell r="K44">
            <v>0.59384320407576385</v>
          </cell>
          <cell r="P44">
            <v>3</v>
          </cell>
          <cell r="Q44">
            <v>2</v>
          </cell>
        </row>
        <row r="45">
          <cell r="A45">
            <v>31</v>
          </cell>
          <cell r="B45" t="str">
            <v>Soap A</v>
          </cell>
          <cell r="C45">
            <v>2</v>
          </cell>
          <cell r="D45">
            <v>4</v>
          </cell>
          <cell r="E45">
            <v>1</v>
          </cell>
          <cell r="F45">
            <v>5</v>
          </cell>
          <cell r="G45">
            <v>5</v>
          </cell>
          <cell r="H45">
            <v>4</v>
          </cell>
          <cell r="I45">
            <v>0.49614331465336126</v>
          </cell>
          <cell r="J45">
            <v>0.59271310737004301</v>
          </cell>
          <cell r="K45">
            <v>4.2083376666786312E-2</v>
          </cell>
          <cell r="P45">
            <v>2</v>
          </cell>
          <cell r="Q45">
            <v>4</v>
          </cell>
        </row>
        <row r="46">
          <cell r="A46">
            <v>32</v>
          </cell>
          <cell r="B46" t="str">
            <v>Soap B</v>
          </cell>
          <cell r="C46">
            <v>3</v>
          </cell>
          <cell r="D46">
            <v>7</v>
          </cell>
          <cell r="E46">
            <v>1.5</v>
          </cell>
          <cell r="F46">
            <v>6</v>
          </cell>
          <cell r="G46">
            <v>3</v>
          </cell>
          <cell r="H46">
            <v>2</v>
          </cell>
          <cell r="I46">
            <v>1.0235749464470247</v>
          </cell>
          <cell r="J46">
            <v>-0.45901842149710087</v>
          </cell>
          <cell r="K46">
            <v>-1.0614362781511688</v>
          </cell>
          <cell r="P46">
            <v>1</v>
          </cell>
          <cell r="Q46">
            <v>10.5</v>
          </cell>
        </row>
        <row r="47">
          <cell r="A47">
            <v>33</v>
          </cell>
          <cell r="B47" t="str">
            <v>Soap B</v>
          </cell>
          <cell r="C47">
            <v>3</v>
          </cell>
          <cell r="D47">
            <v>4</v>
          </cell>
          <cell r="E47">
            <v>1.5</v>
          </cell>
          <cell r="F47">
            <v>5</v>
          </cell>
          <cell r="G47">
            <v>7</v>
          </cell>
          <cell r="H47">
            <v>5</v>
          </cell>
          <cell r="I47">
            <v>0.49614331465336126</v>
          </cell>
          <cell r="J47">
            <v>1.644444636237187</v>
          </cell>
          <cell r="K47">
            <v>0.59384320407576385</v>
          </cell>
          <cell r="P47">
            <v>2</v>
          </cell>
          <cell r="Q47">
            <v>6</v>
          </cell>
        </row>
        <row r="48">
          <cell r="A48">
            <v>34</v>
          </cell>
          <cell r="B48" t="str">
            <v>Soap A</v>
          </cell>
          <cell r="C48">
            <v>2</v>
          </cell>
          <cell r="D48">
            <v>6</v>
          </cell>
          <cell r="E48">
            <v>1</v>
          </cell>
          <cell r="F48">
            <v>5</v>
          </cell>
          <cell r="G48">
            <v>4</v>
          </cell>
          <cell r="H48">
            <v>1</v>
          </cell>
          <cell r="I48">
            <v>0.49614331465336126</v>
          </cell>
          <cell r="J48">
            <v>6.6847342936471071E-2</v>
          </cell>
          <cell r="K48">
            <v>-1.6131961055601465</v>
          </cell>
          <cell r="P48">
            <v>1</v>
          </cell>
          <cell r="Q48">
            <v>6</v>
          </cell>
        </row>
        <row r="49">
          <cell r="A49">
            <v>35</v>
          </cell>
          <cell r="B49" t="str">
            <v>Soap B</v>
          </cell>
          <cell r="C49">
            <v>3.5</v>
          </cell>
          <cell r="D49">
            <v>2</v>
          </cell>
          <cell r="E49">
            <v>1.5</v>
          </cell>
          <cell r="F49">
            <v>2</v>
          </cell>
          <cell r="G49">
            <v>2</v>
          </cell>
          <cell r="H49">
            <v>7</v>
          </cell>
          <cell r="I49">
            <v>-1.0861515807276292</v>
          </cell>
          <cell r="J49">
            <v>-0.98488418593067284</v>
          </cell>
          <cell r="K49">
            <v>1.6973628588937191</v>
          </cell>
          <cell r="P49">
            <v>3</v>
          </cell>
          <cell r="Q49">
            <v>4</v>
          </cell>
        </row>
        <row r="50">
          <cell r="A50">
            <v>36</v>
          </cell>
          <cell r="B50" t="str">
            <v>Soap B</v>
          </cell>
          <cell r="C50">
            <v>3.5</v>
          </cell>
          <cell r="D50">
            <v>1</v>
          </cell>
          <cell r="E50">
            <v>1.5</v>
          </cell>
          <cell r="F50">
            <v>1</v>
          </cell>
          <cell r="G50">
            <v>1</v>
          </cell>
          <cell r="H50">
            <v>6</v>
          </cell>
          <cell r="I50">
            <v>-1.6135832125212926</v>
          </cell>
          <cell r="J50">
            <v>-1.5107499503642448</v>
          </cell>
          <cell r="K50">
            <v>1.1456030314847414</v>
          </cell>
          <cell r="P50">
            <v>3</v>
          </cell>
          <cell r="Q50">
            <v>2</v>
          </cell>
        </row>
        <row r="51">
          <cell r="A51">
            <v>37</v>
          </cell>
          <cell r="B51" t="str">
            <v>Soap B</v>
          </cell>
          <cell r="C51">
            <v>3.5</v>
          </cell>
          <cell r="D51">
            <v>2</v>
          </cell>
          <cell r="E51">
            <v>1.5</v>
          </cell>
          <cell r="F51">
            <v>3</v>
          </cell>
          <cell r="G51">
            <v>1</v>
          </cell>
          <cell r="H51">
            <v>5</v>
          </cell>
          <cell r="I51">
            <v>-0.5587199489339657</v>
          </cell>
          <cell r="J51">
            <v>-1.5107499503642448</v>
          </cell>
          <cell r="K51">
            <v>0.59384320407576385</v>
          </cell>
          <cell r="P51">
            <v>3</v>
          </cell>
          <cell r="Q51">
            <v>4</v>
          </cell>
        </row>
        <row r="52">
          <cell r="A52">
            <v>38</v>
          </cell>
          <cell r="B52" t="str">
            <v>Soap A</v>
          </cell>
          <cell r="C52">
            <v>2</v>
          </cell>
          <cell r="D52">
            <v>5</v>
          </cell>
          <cell r="E52">
            <v>1</v>
          </cell>
          <cell r="F52">
            <v>3</v>
          </cell>
          <cell r="G52">
            <v>6</v>
          </cell>
          <cell r="H52">
            <v>3</v>
          </cell>
          <cell r="I52">
            <v>-0.5587199489339657</v>
          </cell>
          <cell r="J52">
            <v>1.1185788718036149</v>
          </cell>
          <cell r="K52">
            <v>-0.50967645074219126</v>
          </cell>
          <cell r="P52">
            <v>2</v>
          </cell>
          <cell r="Q52">
            <v>5</v>
          </cell>
        </row>
        <row r="53">
          <cell r="A53">
            <v>39</v>
          </cell>
          <cell r="B53" t="str">
            <v>Soap A</v>
          </cell>
          <cell r="C53">
            <v>2</v>
          </cell>
          <cell r="D53">
            <v>2</v>
          </cell>
          <cell r="E53">
            <v>1</v>
          </cell>
          <cell r="F53">
            <v>5</v>
          </cell>
          <cell r="G53">
            <v>7</v>
          </cell>
          <cell r="H53">
            <v>5</v>
          </cell>
          <cell r="I53">
            <v>0.49614331465336126</v>
          </cell>
          <cell r="J53">
            <v>1.644444636237187</v>
          </cell>
          <cell r="K53">
            <v>0.59384320407576385</v>
          </cell>
          <cell r="P53">
            <v>2</v>
          </cell>
          <cell r="Q53">
            <v>2</v>
          </cell>
        </row>
        <row r="54">
          <cell r="A54">
            <v>40</v>
          </cell>
          <cell r="B54" t="str">
            <v>Soap A</v>
          </cell>
          <cell r="C54">
            <v>2.2999999999999998</v>
          </cell>
          <cell r="D54">
            <v>2</v>
          </cell>
          <cell r="E54">
            <v>1</v>
          </cell>
          <cell r="F54">
            <v>3</v>
          </cell>
          <cell r="G54">
            <v>2</v>
          </cell>
          <cell r="H54">
            <v>6</v>
          </cell>
          <cell r="I54">
            <v>-0.5587199489339657</v>
          </cell>
          <cell r="J54">
            <v>-0.98488418593067284</v>
          </cell>
          <cell r="K54">
            <v>1.1456030314847414</v>
          </cell>
          <cell r="P54">
            <v>3</v>
          </cell>
          <cell r="Q54">
            <v>2.5999999999999996</v>
          </cell>
        </row>
        <row r="55">
          <cell r="A55">
            <v>41</v>
          </cell>
          <cell r="B55" t="str">
            <v>Soap A</v>
          </cell>
          <cell r="C55">
            <v>2.2999999999999998</v>
          </cell>
          <cell r="D55">
            <v>7</v>
          </cell>
          <cell r="E55">
            <v>1</v>
          </cell>
          <cell r="F55">
            <v>5</v>
          </cell>
          <cell r="G55">
            <v>3</v>
          </cell>
          <cell r="H55">
            <v>3</v>
          </cell>
          <cell r="I55">
            <v>0.49614331465336126</v>
          </cell>
          <cell r="J55">
            <v>-0.45901842149710087</v>
          </cell>
          <cell r="K55">
            <v>-0.50967645074219126</v>
          </cell>
          <cell r="P55">
            <v>1</v>
          </cell>
          <cell r="Q55">
            <v>9.0999999999999979</v>
          </cell>
        </row>
        <row r="56">
          <cell r="A56">
            <v>42</v>
          </cell>
          <cell r="B56" t="str">
            <v>Soap A</v>
          </cell>
          <cell r="C56">
            <v>2</v>
          </cell>
          <cell r="D56">
            <v>5</v>
          </cell>
          <cell r="E56">
            <v>1</v>
          </cell>
          <cell r="F56">
            <v>3</v>
          </cell>
          <cell r="G56">
            <v>6</v>
          </cell>
          <cell r="H56">
            <v>3</v>
          </cell>
          <cell r="I56">
            <v>-0.5587199489339657</v>
          </cell>
          <cell r="J56">
            <v>1.1185788718036149</v>
          </cell>
          <cell r="K56">
            <v>-0.50967645074219126</v>
          </cell>
          <cell r="P56">
            <v>2</v>
          </cell>
          <cell r="Q56">
            <v>5</v>
          </cell>
        </row>
        <row r="57">
          <cell r="A57">
            <v>43</v>
          </cell>
          <cell r="B57" t="str">
            <v>Soap B</v>
          </cell>
          <cell r="C57">
            <v>3</v>
          </cell>
          <cell r="D57">
            <v>4</v>
          </cell>
          <cell r="E57">
            <v>1.5</v>
          </cell>
          <cell r="F57">
            <v>4</v>
          </cell>
          <cell r="G57">
            <v>6</v>
          </cell>
          <cell r="H57">
            <v>5</v>
          </cell>
          <cell r="I57">
            <v>-3.1288317140302224E-2</v>
          </cell>
          <cell r="J57">
            <v>1.1185788718036149</v>
          </cell>
          <cell r="K57">
            <v>0.59384320407576385</v>
          </cell>
          <cell r="P57">
            <v>2</v>
          </cell>
          <cell r="Q57">
            <v>6</v>
          </cell>
        </row>
        <row r="58">
          <cell r="A58">
            <v>44</v>
          </cell>
          <cell r="B58" t="str">
            <v>Soap A</v>
          </cell>
          <cell r="C58">
            <v>2</v>
          </cell>
          <cell r="D58">
            <v>9</v>
          </cell>
          <cell r="E58">
            <v>1</v>
          </cell>
          <cell r="F58">
            <v>7</v>
          </cell>
          <cell r="G58">
            <v>4</v>
          </cell>
          <cell r="H58">
            <v>2</v>
          </cell>
          <cell r="I58">
            <v>1.5510065782406881</v>
          </cell>
          <cell r="J58">
            <v>6.6847342936471071E-2</v>
          </cell>
          <cell r="K58">
            <v>-1.0614362781511688</v>
          </cell>
          <cell r="P58">
            <v>1</v>
          </cell>
          <cell r="Q58">
            <v>9</v>
          </cell>
        </row>
        <row r="59">
          <cell r="A59">
            <v>45</v>
          </cell>
          <cell r="B59" t="str">
            <v>Soap B</v>
          </cell>
          <cell r="C59">
            <v>3</v>
          </cell>
          <cell r="D59">
            <v>6</v>
          </cell>
          <cell r="E59">
            <v>1.5</v>
          </cell>
          <cell r="F59">
            <v>4</v>
          </cell>
          <cell r="G59">
            <v>6</v>
          </cell>
          <cell r="H59">
            <v>3</v>
          </cell>
          <cell r="I59">
            <v>-3.1288317140302224E-2</v>
          </cell>
          <cell r="J59">
            <v>1.1185788718036149</v>
          </cell>
          <cell r="K59">
            <v>-0.50967645074219126</v>
          </cell>
          <cell r="P59">
            <v>2</v>
          </cell>
          <cell r="Q59">
            <v>9</v>
          </cell>
        </row>
        <row r="60">
          <cell r="A60">
            <v>46</v>
          </cell>
          <cell r="B60" t="str">
            <v>Soap A</v>
          </cell>
          <cell r="C60">
            <v>2</v>
          </cell>
          <cell r="D60">
            <v>5</v>
          </cell>
          <cell r="E60">
            <v>1</v>
          </cell>
          <cell r="F60">
            <v>4</v>
          </cell>
          <cell r="G60">
            <v>7</v>
          </cell>
          <cell r="H60">
            <v>4</v>
          </cell>
          <cell r="I60">
            <v>-3.1288317140302224E-2</v>
          </cell>
          <cell r="J60">
            <v>1.644444636237187</v>
          </cell>
          <cell r="K60">
            <v>4.2083376666786312E-2</v>
          </cell>
          <cell r="P60">
            <v>2</v>
          </cell>
          <cell r="Q60">
            <v>5</v>
          </cell>
        </row>
        <row r="61">
          <cell r="A61">
            <v>47</v>
          </cell>
          <cell r="B61" t="str">
            <v>Soap B</v>
          </cell>
          <cell r="C61">
            <v>3.5</v>
          </cell>
          <cell r="D61">
            <v>1</v>
          </cell>
          <cell r="E61">
            <v>1.5</v>
          </cell>
          <cell r="F61">
            <v>2</v>
          </cell>
          <cell r="G61">
            <v>3</v>
          </cell>
          <cell r="H61">
            <v>5</v>
          </cell>
          <cell r="I61">
            <v>-1.0861515807276292</v>
          </cell>
          <cell r="J61">
            <v>-0.45901842149710087</v>
          </cell>
          <cell r="K61">
            <v>0.59384320407576385</v>
          </cell>
          <cell r="P61">
            <v>3</v>
          </cell>
          <cell r="Q61">
            <v>2</v>
          </cell>
        </row>
        <row r="62">
          <cell r="A62">
            <v>48</v>
          </cell>
          <cell r="B62" t="str">
            <v>Soap A</v>
          </cell>
          <cell r="C62">
            <v>2</v>
          </cell>
          <cell r="D62">
            <v>10</v>
          </cell>
          <cell r="E62">
            <v>1</v>
          </cell>
          <cell r="F62">
            <v>7</v>
          </cell>
          <cell r="G62">
            <v>3</v>
          </cell>
          <cell r="H62">
            <v>1</v>
          </cell>
          <cell r="I62">
            <v>1.5510065782406881</v>
          </cell>
          <cell r="J62">
            <v>-0.45901842149710087</v>
          </cell>
          <cell r="K62">
            <v>-1.6131961055601465</v>
          </cell>
          <cell r="P62">
            <v>1</v>
          </cell>
          <cell r="Q62">
            <v>10</v>
          </cell>
        </row>
        <row r="63">
          <cell r="A63">
            <v>49</v>
          </cell>
          <cell r="B63" t="str">
            <v>Soap B</v>
          </cell>
          <cell r="C63">
            <v>3.5</v>
          </cell>
          <cell r="D63">
            <v>2</v>
          </cell>
          <cell r="E63">
            <v>1.5</v>
          </cell>
          <cell r="F63">
            <v>2</v>
          </cell>
          <cell r="G63">
            <v>2</v>
          </cell>
          <cell r="H63">
            <v>5</v>
          </cell>
          <cell r="I63">
            <v>-1.0861515807276292</v>
          </cell>
          <cell r="J63">
            <v>-0.98488418593067284</v>
          </cell>
          <cell r="K63">
            <v>0.59384320407576385</v>
          </cell>
          <cell r="P63">
            <v>3</v>
          </cell>
          <cell r="Q63">
            <v>4</v>
          </cell>
        </row>
        <row r="64">
          <cell r="A64">
            <v>50</v>
          </cell>
          <cell r="B64" t="str">
            <v>Soap B</v>
          </cell>
          <cell r="C64">
            <v>2.5</v>
          </cell>
          <cell r="D64">
            <v>9</v>
          </cell>
          <cell r="E64">
            <v>1.5</v>
          </cell>
          <cell r="F64">
            <v>5</v>
          </cell>
          <cell r="G64">
            <v>3</v>
          </cell>
          <cell r="H64">
            <v>3</v>
          </cell>
          <cell r="I64">
            <v>0.49614331465336126</v>
          </cell>
          <cell r="J64">
            <v>-0.45901842149710087</v>
          </cell>
          <cell r="K64">
            <v>-0.50967645074219126</v>
          </cell>
          <cell r="P64">
            <v>1</v>
          </cell>
          <cell r="Q64">
            <v>9</v>
          </cell>
        </row>
        <row r="65">
          <cell r="A65">
            <v>51</v>
          </cell>
          <cell r="B65" t="str">
            <v>Soap A</v>
          </cell>
          <cell r="C65">
            <v>2.2999999999999998</v>
          </cell>
          <cell r="D65">
            <v>0</v>
          </cell>
          <cell r="E65">
            <v>1</v>
          </cell>
          <cell r="F65">
            <v>3</v>
          </cell>
          <cell r="G65">
            <v>3</v>
          </cell>
          <cell r="H65">
            <v>7</v>
          </cell>
          <cell r="I65">
            <v>-0.5587199489339657</v>
          </cell>
          <cell r="J65">
            <v>-0.45901842149710087</v>
          </cell>
          <cell r="K65">
            <v>1.6973628588937191</v>
          </cell>
          <cell r="P65">
            <v>3</v>
          </cell>
          <cell r="Q65">
            <v>0</v>
          </cell>
        </row>
        <row r="66">
          <cell r="A66">
            <v>52</v>
          </cell>
          <cell r="B66" t="str">
            <v>Soap A</v>
          </cell>
          <cell r="C66">
            <v>2.2999999999999998</v>
          </cell>
          <cell r="D66">
            <v>6</v>
          </cell>
          <cell r="E66">
            <v>1</v>
          </cell>
          <cell r="F66">
            <v>4</v>
          </cell>
          <cell r="G66">
            <v>6</v>
          </cell>
          <cell r="H66">
            <v>5</v>
          </cell>
          <cell r="I66">
            <v>-3.1288317140302224E-2</v>
          </cell>
          <cell r="J66">
            <v>1.1185788718036149</v>
          </cell>
          <cell r="K66">
            <v>0.59384320407576385</v>
          </cell>
          <cell r="P66">
            <v>2</v>
          </cell>
          <cell r="Q66">
            <v>7.7999999999999989</v>
          </cell>
        </row>
        <row r="67">
          <cell r="A67">
            <v>53</v>
          </cell>
          <cell r="B67" t="str">
            <v>Soap A</v>
          </cell>
          <cell r="C67">
            <v>2</v>
          </cell>
          <cell r="D67">
            <v>6</v>
          </cell>
          <cell r="E67">
            <v>1</v>
          </cell>
          <cell r="F67">
            <v>6</v>
          </cell>
          <cell r="G67">
            <v>3</v>
          </cell>
          <cell r="H67">
            <v>2</v>
          </cell>
          <cell r="I67">
            <v>1.0235749464470247</v>
          </cell>
          <cell r="J67">
            <v>-0.45901842149710087</v>
          </cell>
          <cell r="K67">
            <v>-1.0614362781511688</v>
          </cell>
          <cell r="P67">
            <v>1</v>
          </cell>
          <cell r="Q67">
            <v>6</v>
          </cell>
        </row>
        <row r="68">
          <cell r="A68">
            <v>54</v>
          </cell>
          <cell r="B68" t="str">
            <v>Soap B</v>
          </cell>
          <cell r="C68">
            <v>3</v>
          </cell>
          <cell r="D68">
            <v>6</v>
          </cell>
          <cell r="E68">
            <v>1.5</v>
          </cell>
          <cell r="F68">
            <v>4</v>
          </cell>
          <cell r="G68">
            <v>7</v>
          </cell>
          <cell r="H68">
            <v>4</v>
          </cell>
          <cell r="I68">
            <v>-3.1288317140302224E-2</v>
          </cell>
          <cell r="J68">
            <v>1.644444636237187</v>
          </cell>
          <cell r="K68">
            <v>4.2083376666786312E-2</v>
          </cell>
          <cell r="P68">
            <v>2</v>
          </cell>
          <cell r="Q68">
            <v>9</v>
          </cell>
        </row>
        <row r="69">
          <cell r="A69">
            <v>55</v>
          </cell>
          <cell r="B69" t="str">
            <v>Soap A</v>
          </cell>
          <cell r="C69">
            <v>2.2999999999999998</v>
          </cell>
          <cell r="D69">
            <v>0</v>
          </cell>
          <cell r="E69">
            <v>1</v>
          </cell>
          <cell r="F69">
            <v>2</v>
          </cell>
          <cell r="G69">
            <v>1</v>
          </cell>
          <cell r="H69">
            <v>5</v>
          </cell>
          <cell r="I69">
            <v>-1.0861515807276292</v>
          </cell>
          <cell r="J69">
            <v>-1.5107499503642448</v>
          </cell>
          <cell r="K69">
            <v>0.59384320407576385</v>
          </cell>
          <cell r="P69">
            <v>3</v>
          </cell>
          <cell r="Q69">
            <v>0</v>
          </cell>
        </row>
        <row r="70">
          <cell r="A70">
            <v>56</v>
          </cell>
          <cell r="B70" t="str">
            <v>Soap A</v>
          </cell>
          <cell r="C70">
            <v>2.2999999999999998</v>
          </cell>
          <cell r="D70">
            <v>6</v>
          </cell>
          <cell r="E70">
            <v>1</v>
          </cell>
          <cell r="F70">
            <v>5</v>
          </cell>
          <cell r="G70">
            <v>6</v>
          </cell>
          <cell r="H70">
            <v>5</v>
          </cell>
          <cell r="I70">
            <v>0.49614331465336126</v>
          </cell>
          <cell r="J70">
            <v>1.1185788718036149</v>
          </cell>
          <cell r="K70">
            <v>0.59384320407576385</v>
          </cell>
          <cell r="P70">
            <v>2</v>
          </cell>
          <cell r="Q70">
            <v>7.7999999999999989</v>
          </cell>
        </row>
        <row r="71">
          <cell r="A71">
            <v>57</v>
          </cell>
          <cell r="B71" t="str">
            <v>Soap A</v>
          </cell>
          <cell r="C71">
            <v>2</v>
          </cell>
          <cell r="D71">
            <v>10</v>
          </cell>
          <cell r="E71">
            <v>1</v>
          </cell>
          <cell r="F71">
            <v>5</v>
          </cell>
          <cell r="G71">
            <v>4</v>
          </cell>
          <cell r="H71">
            <v>1</v>
          </cell>
          <cell r="I71">
            <v>0.49614331465336126</v>
          </cell>
          <cell r="J71">
            <v>6.6847342936471071E-2</v>
          </cell>
          <cell r="K71">
            <v>-1.6131961055601465</v>
          </cell>
          <cell r="P71">
            <v>1</v>
          </cell>
          <cell r="Q71">
            <v>10</v>
          </cell>
        </row>
        <row r="72">
          <cell r="A72">
            <v>58</v>
          </cell>
          <cell r="B72" t="str">
            <v>Soap A</v>
          </cell>
          <cell r="C72">
            <v>2</v>
          </cell>
          <cell r="D72">
            <v>2</v>
          </cell>
          <cell r="E72">
            <v>1</v>
          </cell>
          <cell r="F72">
            <v>2</v>
          </cell>
          <cell r="G72">
            <v>2</v>
          </cell>
          <cell r="H72">
            <v>5</v>
          </cell>
          <cell r="I72">
            <v>-1.0861515807276292</v>
          </cell>
          <cell r="J72">
            <v>-0.98488418593067284</v>
          </cell>
          <cell r="K72">
            <v>0.59384320407576385</v>
          </cell>
          <cell r="P72">
            <v>3</v>
          </cell>
          <cell r="Q72">
            <v>2</v>
          </cell>
        </row>
        <row r="73">
          <cell r="A73">
            <v>59</v>
          </cell>
          <cell r="B73" t="str">
            <v>Soap B</v>
          </cell>
          <cell r="C73">
            <v>2.5</v>
          </cell>
          <cell r="D73">
            <v>6</v>
          </cell>
          <cell r="E73">
            <v>1.5</v>
          </cell>
          <cell r="F73">
            <v>3</v>
          </cell>
          <cell r="G73">
            <v>6</v>
          </cell>
          <cell r="H73">
            <v>3</v>
          </cell>
          <cell r="I73">
            <v>-0.5587199489339657</v>
          </cell>
          <cell r="J73">
            <v>1.1185788718036149</v>
          </cell>
          <cell r="K73">
            <v>-0.50967645074219126</v>
          </cell>
          <cell r="P73">
            <v>2</v>
          </cell>
          <cell r="Q73">
            <v>6</v>
          </cell>
        </row>
        <row r="74">
          <cell r="A74">
            <v>60</v>
          </cell>
          <cell r="B74" t="str">
            <v>Soap B</v>
          </cell>
          <cell r="C74">
            <v>3.5</v>
          </cell>
          <cell r="D74">
            <v>1</v>
          </cell>
          <cell r="E74">
            <v>1.5</v>
          </cell>
          <cell r="F74">
            <v>1</v>
          </cell>
          <cell r="G74">
            <v>2</v>
          </cell>
          <cell r="H74">
            <v>5</v>
          </cell>
          <cell r="I74">
            <v>-1.6135832125212926</v>
          </cell>
          <cell r="J74">
            <v>-0.98488418593067284</v>
          </cell>
          <cell r="K74">
            <v>0.59384320407576385</v>
          </cell>
          <cell r="P74">
            <v>3</v>
          </cell>
          <cell r="Q74">
            <v>2</v>
          </cell>
        </row>
        <row r="75">
          <cell r="A75">
            <v>61</v>
          </cell>
          <cell r="B75" t="str">
            <v>Soap B</v>
          </cell>
          <cell r="C75">
            <v>3</v>
          </cell>
          <cell r="D75">
            <v>6</v>
          </cell>
          <cell r="E75">
            <v>1.5</v>
          </cell>
          <cell r="F75">
            <v>3</v>
          </cell>
          <cell r="G75">
            <v>5</v>
          </cell>
          <cell r="H75">
            <v>3</v>
          </cell>
          <cell r="I75">
            <v>-0.5587199489339657</v>
          </cell>
          <cell r="J75">
            <v>0.59271310737004301</v>
          </cell>
          <cell r="K75">
            <v>-0.50967645074219126</v>
          </cell>
          <cell r="P75">
            <v>2</v>
          </cell>
          <cell r="Q75">
            <v>9</v>
          </cell>
        </row>
        <row r="76">
          <cell r="A76">
            <v>62</v>
          </cell>
          <cell r="B76" t="str">
            <v>Soap A</v>
          </cell>
          <cell r="C76">
            <v>2.2999999999999998</v>
          </cell>
          <cell r="D76">
            <v>2</v>
          </cell>
          <cell r="E76">
            <v>1</v>
          </cell>
          <cell r="F76">
            <v>2</v>
          </cell>
          <cell r="G76">
            <v>3</v>
          </cell>
          <cell r="H76">
            <v>7</v>
          </cell>
          <cell r="I76">
            <v>-1.0861515807276292</v>
          </cell>
          <cell r="J76">
            <v>-0.45901842149710087</v>
          </cell>
          <cell r="K76">
            <v>1.6973628588937191</v>
          </cell>
          <cell r="P76">
            <v>3</v>
          </cell>
          <cell r="Q76">
            <v>2.5999999999999996</v>
          </cell>
        </row>
        <row r="77">
          <cell r="A77">
            <v>63</v>
          </cell>
          <cell r="B77" t="str">
            <v>Soap A</v>
          </cell>
          <cell r="C77">
            <v>2.2999999999999998</v>
          </cell>
          <cell r="D77">
            <v>1</v>
          </cell>
          <cell r="E77">
            <v>1</v>
          </cell>
          <cell r="F77">
            <v>1</v>
          </cell>
          <cell r="G77">
            <v>2</v>
          </cell>
          <cell r="H77">
            <v>6</v>
          </cell>
          <cell r="I77">
            <v>-1.6135832125212926</v>
          </cell>
          <cell r="J77">
            <v>-0.98488418593067284</v>
          </cell>
          <cell r="K77">
            <v>1.1456030314847414</v>
          </cell>
          <cell r="P77">
            <v>3</v>
          </cell>
          <cell r="Q77">
            <v>1.2999999999999998</v>
          </cell>
        </row>
        <row r="78">
          <cell r="A78">
            <v>64</v>
          </cell>
          <cell r="B78" t="str">
            <v>Soap B</v>
          </cell>
          <cell r="C78">
            <v>3.5</v>
          </cell>
          <cell r="D78">
            <v>2</v>
          </cell>
          <cell r="E78">
            <v>1.5</v>
          </cell>
          <cell r="F78">
            <v>2</v>
          </cell>
          <cell r="G78">
            <v>1</v>
          </cell>
          <cell r="H78">
            <v>5</v>
          </cell>
          <cell r="I78">
            <v>-1.0861515807276292</v>
          </cell>
          <cell r="J78">
            <v>-1.5107499503642448</v>
          </cell>
          <cell r="K78">
            <v>0.59384320407576385</v>
          </cell>
          <cell r="P78">
            <v>3</v>
          </cell>
          <cell r="Q78">
            <v>4</v>
          </cell>
        </row>
        <row r="79">
          <cell r="A79">
            <v>65</v>
          </cell>
          <cell r="B79" t="str">
            <v>Soap B</v>
          </cell>
          <cell r="C79">
            <v>3.5</v>
          </cell>
          <cell r="D79">
            <v>1</v>
          </cell>
          <cell r="E79">
            <v>1.5</v>
          </cell>
          <cell r="F79">
            <v>1</v>
          </cell>
          <cell r="G79">
            <v>2</v>
          </cell>
          <cell r="H79">
            <v>7</v>
          </cell>
          <cell r="I79">
            <v>-1.6135832125212926</v>
          </cell>
          <cell r="J79">
            <v>-0.98488418593067284</v>
          </cell>
          <cell r="K79">
            <v>1.6973628588937191</v>
          </cell>
          <cell r="P79">
            <v>3</v>
          </cell>
          <cell r="Q79">
            <v>2</v>
          </cell>
        </row>
        <row r="80">
          <cell r="A80">
            <v>66</v>
          </cell>
          <cell r="B80" t="str">
            <v>Soap B</v>
          </cell>
          <cell r="C80">
            <v>2.5</v>
          </cell>
          <cell r="D80">
            <v>9</v>
          </cell>
          <cell r="E80">
            <v>1.5</v>
          </cell>
          <cell r="F80">
            <v>6</v>
          </cell>
          <cell r="G80">
            <v>4</v>
          </cell>
          <cell r="H80">
            <v>1</v>
          </cell>
          <cell r="I80">
            <v>1.0235749464470247</v>
          </cell>
          <cell r="J80">
            <v>6.6847342936471071E-2</v>
          </cell>
          <cell r="K80">
            <v>-1.6131961055601465</v>
          </cell>
          <cell r="P80">
            <v>1</v>
          </cell>
          <cell r="Q80">
            <v>9</v>
          </cell>
        </row>
        <row r="81">
          <cell r="A81">
            <v>67</v>
          </cell>
          <cell r="B81" t="str">
            <v>Soap A</v>
          </cell>
          <cell r="C81">
            <v>2</v>
          </cell>
          <cell r="D81">
            <v>9</v>
          </cell>
          <cell r="E81">
            <v>1</v>
          </cell>
          <cell r="F81">
            <v>7</v>
          </cell>
          <cell r="G81">
            <v>4</v>
          </cell>
          <cell r="H81">
            <v>2</v>
          </cell>
          <cell r="I81">
            <v>1.5510065782406881</v>
          </cell>
          <cell r="J81">
            <v>6.6847342936471071E-2</v>
          </cell>
          <cell r="K81">
            <v>-1.0614362781511688</v>
          </cell>
          <cell r="P81">
            <v>1</v>
          </cell>
          <cell r="Q81">
            <v>9</v>
          </cell>
        </row>
        <row r="82">
          <cell r="A82">
            <v>68</v>
          </cell>
          <cell r="B82" t="str">
            <v>Soap A</v>
          </cell>
          <cell r="C82">
            <v>2</v>
          </cell>
          <cell r="D82">
            <v>9</v>
          </cell>
          <cell r="E82">
            <v>1</v>
          </cell>
          <cell r="F82">
            <v>7</v>
          </cell>
          <cell r="G82">
            <v>4</v>
          </cell>
          <cell r="H82">
            <v>1</v>
          </cell>
          <cell r="I82">
            <v>1.5510065782406881</v>
          </cell>
          <cell r="J82">
            <v>6.6847342936471071E-2</v>
          </cell>
          <cell r="K82">
            <v>-1.6131961055601465</v>
          </cell>
          <cell r="P82">
            <v>1</v>
          </cell>
          <cell r="Q82">
            <v>9</v>
          </cell>
        </row>
        <row r="83">
          <cell r="A83">
            <v>69</v>
          </cell>
          <cell r="B83" t="str">
            <v>Soap B</v>
          </cell>
          <cell r="C83">
            <v>2.5</v>
          </cell>
          <cell r="D83">
            <v>6</v>
          </cell>
          <cell r="E83">
            <v>1.5</v>
          </cell>
          <cell r="F83">
            <v>3</v>
          </cell>
          <cell r="G83">
            <v>6</v>
          </cell>
          <cell r="H83">
            <v>3</v>
          </cell>
          <cell r="I83">
            <v>-0.5587199489339657</v>
          </cell>
          <cell r="J83">
            <v>1.1185788718036149</v>
          </cell>
          <cell r="K83">
            <v>-0.50967645074219126</v>
          </cell>
          <cell r="P83">
            <v>2</v>
          </cell>
          <cell r="Q83">
            <v>6</v>
          </cell>
        </row>
        <row r="84">
          <cell r="A84">
            <v>70</v>
          </cell>
          <cell r="B84" t="str">
            <v>Soap A</v>
          </cell>
          <cell r="C84">
            <v>2</v>
          </cell>
          <cell r="D84">
            <v>0</v>
          </cell>
          <cell r="E84">
            <v>1</v>
          </cell>
          <cell r="F84">
            <v>1</v>
          </cell>
          <cell r="G84">
            <v>1</v>
          </cell>
          <cell r="H84">
            <v>5</v>
          </cell>
          <cell r="I84">
            <v>-1.6135832125212926</v>
          </cell>
          <cell r="J84">
            <v>-1.5107499503642448</v>
          </cell>
          <cell r="K84">
            <v>0.59384320407576385</v>
          </cell>
          <cell r="P84">
            <v>3</v>
          </cell>
          <cell r="Q84">
            <v>0</v>
          </cell>
        </row>
        <row r="85">
          <cell r="A85">
            <v>71</v>
          </cell>
          <cell r="B85" t="str">
            <v>Soap B</v>
          </cell>
          <cell r="C85">
            <v>3</v>
          </cell>
          <cell r="D85">
            <v>5</v>
          </cell>
          <cell r="E85">
            <v>1.5</v>
          </cell>
          <cell r="F85">
            <v>4</v>
          </cell>
          <cell r="G85">
            <v>7</v>
          </cell>
          <cell r="H85">
            <v>3</v>
          </cell>
          <cell r="I85">
            <v>-3.1288317140302224E-2</v>
          </cell>
          <cell r="J85">
            <v>1.644444636237187</v>
          </cell>
          <cell r="K85">
            <v>-0.50967645074219126</v>
          </cell>
          <cell r="P85">
            <v>2</v>
          </cell>
          <cell r="Q85">
            <v>7.5</v>
          </cell>
        </row>
        <row r="86">
          <cell r="A86">
            <v>72</v>
          </cell>
          <cell r="B86" t="str">
            <v>Soap A</v>
          </cell>
          <cell r="C86">
            <v>2</v>
          </cell>
          <cell r="D86">
            <v>2</v>
          </cell>
          <cell r="E86">
            <v>1</v>
          </cell>
          <cell r="F86">
            <v>1</v>
          </cell>
          <cell r="G86">
            <v>3</v>
          </cell>
          <cell r="H86">
            <v>6</v>
          </cell>
          <cell r="I86">
            <v>-1.6135832125212926</v>
          </cell>
          <cell r="J86">
            <v>-0.45901842149710087</v>
          </cell>
          <cell r="K86">
            <v>1.1456030314847414</v>
          </cell>
          <cell r="P86">
            <v>3</v>
          </cell>
          <cell r="Q86">
            <v>2</v>
          </cell>
        </row>
        <row r="87">
          <cell r="A87">
            <v>73</v>
          </cell>
          <cell r="B87" t="str">
            <v>Soap B</v>
          </cell>
          <cell r="C87">
            <v>2.5</v>
          </cell>
          <cell r="D87">
            <v>6</v>
          </cell>
          <cell r="E87">
            <v>1.5</v>
          </cell>
          <cell r="F87">
            <v>7</v>
          </cell>
          <cell r="G87">
            <v>3</v>
          </cell>
          <cell r="H87">
            <v>1</v>
          </cell>
          <cell r="I87">
            <v>1.5510065782406881</v>
          </cell>
          <cell r="J87">
            <v>-0.45901842149710087</v>
          </cell>
          <cell r="K87">
            <v>-1.6131961055601465</v>
          </cell>
          <cell r="P87">
            <v>1</v>
          </cell>
          <cell r="Q87">
            <v>6</v>
          </cell>
        </row>
        <row r="88">
          <cell r="A88">
            <v>74</v>
          </cell>
          <cell r="B88" t="str">
            <v>Soap B</v>
          </cell>
          <cell r="C88">
            <v>2.5</v>
          </cell>
          <cell r="D88">
            <v>9</v>
          </cell>
          <cell r="E88">
            <v>1.5</v>
          </cell>
          <cell r="F88">
            <v>5</v>
          </cell>
          <cell r="G88">
            <v>4</v>
          </cell>
          <cell r="H88">
            <v>2</v>
          </cell>
          <cell r="I88">
            <v>0.49614331465336126</v>
          </cell>
          <cell r="J88">
            <v>6.6847342936471071E-2</v>
          </cell>
          <cell r="K88">
            <v>-1.0614362781511688</v>
          </cell>
          <cell r="P88">
            <v>1</v>
          </cell>
          <cell r="Q88">
            <v>9</v>
          </cell>
        </row>
        <row r="89">
          <cell r="A89">
            <v>75</v>
          </cell>
          <cell r="B89" t="str">
            <v>Soap B</v>
          </cell>
          <cell r="C89">
            <v>2.5</v>
          </cell>
          <cell r="D89">
            <v>7</v>
          </cell>
          <cell r="E89">
            <v>1.5</v>
          </cell>
          <cell r="F89">
            <v>6</v>
          </cell>
          <cell r="G89">
            <v>4</v>
          </cell>
          <cell r="H89">
            <v>2</v>
          </cell>
          <cell r="I89">
            <v>1.0235749464470247</v>
          </cell>
          <cell r="J89">
            <v>6.6847342936471071E-2</v>
          </cell>
          <cell r="K89">
            <v>-1.0614362781511688</v>
          </cell>
          <cell r="P89">
            <v>1</v>
          </cell>
          <cell r="Q89">
            <v>7</v>
          </cell>
        </row>
        <row r="90">
          <cell r="A90">
            <v>76</v>
          </cell>
          <cell r="B90" t="str">
            <v>Soap A</v>
          </cell>
          <cell r="C90">
            <v>2.2999999999999998</v>
          </cell>
          <cell r="D90">
            <v>7</v>
          </cell>
          <cell r="E90">
            <v>1</v>
          </cell>
          <cell r="F90">
            <v>6</v>
          </cell>
          <cell r="G90">
            <v>3</v>
          </cell>
          <cell r="H90">
            <v>1</v>
          </cell>
          <cell r="I90">
            <v>1.0235749464470247</v>
          </cell>
          <cell r="J90">
            <v>-0.45901842149710087</v>
          </cell>
          <cell r="K90">
            <v>-1.6131961055601465</v>
          </cell>
          <cell r="P90">
            <v>1</v>
          </cell>
          <cell r="Q90">
            <v>9.0999999999999979</v>
          </cell>
        </row>
        <row r="91">
          <cell r="A91">
            <v>77</v>
          </cell>
          <cell r="B91" t="str">
            <v>Soap B</v>
          </cell>
          <cell r="C91">
            <v>3.5</v>
          </cell>
          <cell r="D91">
            <v>1</v>
          </cell>
          <cell r="E91">
            <v>1.5</v>
          </cell>
          <cell r="F91">
            <v>2</v>
          </cell>
          <cell r="G91">
            <v>1</v>
          </cell>
          <cell r="H91">
            <v>7</v>
          </cell>
          <cell r="I91">
            <v>-1.0861515807276292</v>
          </cell>
          <cell r="J91">
            <v>-1.5107499503642448</v>
          </cell>
          <cell r="K91">
            <v>1.6973628588937191</v>
          </cell>
          <cell r="P91">
            <v>3</v>
          </cell>
          <cell r="Q91">
            <v>2</v>
          </cell>
        </row>
        <row r="92">
          <cell r="A92">
            <v>78</v>
          </cell>
          <cell r="B92" t="str">
            <v>Soap B</v>
          </cell>
          <cell r="C92">
            <v>3</v>
          </cell>
          <cell r="D92">
            <v>5</v>
          </cell>
          <cell r="E92">
            <v>1.5</v>
          </cell>
          <cell r="F92">
            <v>5</v>
          </cell>
          <cell r="G92">
            <v>6</v>
          </cell>
          <cell r="H92">
            <v>4</v>
          </cell>
          <cell r="I92">
            <v>0.49614331465336126</v>
          </cell>
          <cell r="J92">
            <v>1.1185788718036149</v>
          </cell>
          <cell r="K92">
            <v>4.2083376666786312E-2</v>
          </cell>
          <cell r="P92">
            <v>2</v>
          </cell>
          <cell r="Q92">
            <v>7.5</v>
          </cell>
        </row>
        <row r="93">
          <cell r="A93">
            <v>79</v>
          </cell>
          <cell r="B93" t="str">
            <v>Soap A</v>
          </cell>
          <cell r="C93">
            <v>2.2999999999999998</v>
          </cell>
          <cell r="D93">
            <v>2</v>
          </cell>
          <cell r="E93">
            <v>1</v>
          </cell>
          <cell r="F93">
            <v>3</v>
          </cell>
          <cell r="G93">
            <v>2</v>
          </cell>
          <cell r="H93">
            <v>6</v>
          </cell>
          <cell r="I93">
            <v>-0.5587199489339657</v>
          </cell>
          <cell r="J93">
            <v>-0.98488418593067284</v>
          </cell>
          <cell r="K93">
            <v>1.1456030314847414</v>
          </cell>
          <cell r="P93">
            <v>3</v>
          </cell>
          <cell r="Q93">
            <v>2.5999999999999996</v>
          </cell>
        </row>
        <row r="94">
          <cell r="A94">
            <v>80</v>
          </cell>
          <cell r="B94" t="str">
            <v>Soap A</v>
          </cell>
          <cell r="C94">
            <v>2.2999999999999998</v>
          </cell>
          <cell r="D94">
            <v>1</v>
          </cell>
          <cell r="E94">
            <v>1</v>
          </cell>
          <cell r="F94">
            <v>2</v>
          </cell>
          <cell r="G94">
            <v>1</v>
          </cell>
          <cell r="H94">
            <v>6</v>
          </cell>
          <cell r="I94">
            <v>-1.0861515807276292</v>
          </cell>
          <cell r="J94">
            <v>-1.5107499503642448</v>
          </cell>
          <cell r="K94">
            <v>1.1456030314847414</v>
          </cell>
          <cell r="P94">
            <v>3</v>
          </cell>
          <cell r="Q94">
            <v>1.2999999999999998</v>
          </cell>
        </row>
        <row r="95">
          <cell r="A95">
            <v>81</v>
          </cell>
          <cell r="B95" t="str">
            <v>Soap B</v>
          </cell>
          <cell r="C95">
            <v>3</v>
          </cell>
          <cell r="D95">
            <v>6</v>
          </cell>
          <cell r="E95">
            <v>1.5</v>
          </cell>
          <cell r="F95">
            <v>3</v>
          </cell>
          <cell r="G95">
            <v>5</v>
          </cell>
          <cell r="H95">
            <v>3</v>
          </cell>
          <cell r="I95">
            <v>-0.5587199489339657</v>
          </cell>
          <cell r="J95">
            <v>0.59271310737004301</v>
          </cell>
          <cell r="K95">
            <v>-0.50967645074219126</v>
          </cell>
          <cell r="P95">
            <v>2</v>
          </cell>
          <cell r="Q95">
            <v>9</v>
          </cell>
        </row>
        <row r="96">
          <cell r="A96">
            <v>82</v>
          </cell>
          <cell r="B96" t="str">
            <v>Soap B</v>
          </cell>
          <cell r="C96">
            <v>2.5</v>
          </cell>
          <cell r="D96">
            <v>9</v>
          </cell>
          <cell r="E96">
            <v>1.5</v>
          </cell>
          <cell r="F96">
            <v>7</v>
          </cell>
          <cell r="G96">
            <v>5</v>
          </cell>
          <cell r="H96">
            <v>3</v>
          </cell>
          <cell r="I96">
            <v>1.5510065782406881</v>
          </cell>
          <cell r="J96">
            <v>0.59271310737004301</v>
          </cell>
          <cell r="K96">
            <v>-0.50967645074219126</v>
          </cell>
          <cell r="P96">
            <v>1</v>
          </cell>
          <cell r="Q96">
            <v>9</v>
          </cell>
        </row>
        <row r="97">
          <cell r="A97">
            <v>83</v>
          </cell>
          <cell r="B97" t="str">
            <v>Soap B</v>
          </cell>
          <cell r="C97">
            <v>3.5</v>
          </cell>
          <cell r="D97">
            <v>2</v>
          </cell>
          <cell r="E97">
            <v>1.5</v>
          </cell>
          <cell r="F97">
            <v>3</v>
          </cell>
          <cell r="G97">
            <v>1</v>
          </cell>
          <cell r="H97">
            <v>6</v>
          </cell>
          <cell r="I97">
            <v>-0.5587199489339657</v>
          </cell>
          <cell r="J97">
            <v>-1.5107499503642448</v>
          </cell>
          <cell r="K97">
            <v>1.1456030314847414</v>
          </cell>
          <cell r="P97">
            <v>3</v>
          </cell>
          <cell r="Q97">
            <v>4</v>
          </cell>
        </row>
        <row r="98">
          <cell r="A98">
            <v>84</v>
          </cell>
          <cell r="B98" t="str">
            <v>Soap B</v>
          </cell>
          <cell r="C98">
            <v>3</v>
          </cell>
          <cell r="D98">
            <v>7</v>
          </cell>
          <cell r="E98">
            <v>1.5</v>
          </cell>
          <cell r="F98">
            <v>7</v>
          </cell>
          <cell r="G98">
            <v>5</v>
          </cell>
          <cell r="H98">
            <v>3</v>
          </cell>
          <cell r="I98">
            <v>1.5510065782406881</v>
          </cell>
          <cell r="J98">
            <v>0.59271310737004301</v>
          </cell>
          <cell r="K98">
            <v>-0.50967645074219126</v>
          </cell>
          <cell r="P98">
            <v>1</v>
          </cell>
          <cell r="Q98">
            <v>10.5</v>
          </cell>
        </row>
        <row r="99">
          <cell r="A99">
            <v>85</v>
          </cell>
          <cell r="B99" t="str">
            <v>Soap B</v>
          </cell>
          <cell r="C99">
            <v>3</v>
          </cell>
          <cell r="D99">
            <v>7</v>
          </cell>
          <cell r="E99">
            <v>1.5</v>
          </cell>
          <cell r="F99">
            <v>7</v>
          </cell>
          <cell r="G99">
            <v>3</v>
          </cell>
          <cell r="H99">
            <v>2</v>
          </cell>
          <cell r="I99">
            <v>1.5510065782406881</v>
          </cell>
          <cell r="J99">
            <v>-0.45901842149710087</v>
          </cell>
          <cell r="K99">
            <v>-1.0614362781511688</v>
          </cell>
          <cell r="P99">
            <v>1</v>
          </cell>
          <cell r="Q99">
            <v>10.5</v>
          </cell>
        </row>
        <row r="100">
          <cell r="A100">
            <v>86</v>
          </cell>
          <cell r="B100" t="str">
            <v>Soap A</v>
          </cell>
          <cell r="C100">
            <v>2</v>
          </cell>
          <cell r="D100">
            <v>2</v>
          </cell>
          <cell r="E100">
            <v>1</v>
          </cell>
          <cell r="F100">
            <v>3</v>
          </cell>
          <cell r="G100">
            <v>1</v>
          </cell>
          <cell r="H100">
            <v>5</v>
          </cell>
          <cell r="I100">
            <v>-0.5587199489339657</v>
          </cell>
          <cell r="J100">
            <v>-1.5107499503642448</v>
          </cell>
          <cell r="K100">
            <v>0.59384320407576385</v>
          </cell>
          <cell r="P100">
            <v>3</v>
          </cell>
          <cell r="Q100">
            <v>2</v>
          </cell>
        </row>
        <row r="101">
          <cell r="A101">
            <v>87</v>
          </cell>
          <cell r="B101" t="str">
            <v>Soap A</v>
          </cell>
          <cell r="C101">
            <v>2.2999999999999998</v>
          </cell>
          <cell r="D101">
            <v>3</v>
          </cell>
          <cell r="E101">
            <v>1</v>
          </cell>
          <cell r="F101">
            <v>5</v>
          </cell>
          <cell r="G101">
            <v>5</v>
          </cell>
          <cell r="H101">
            <v>4</v>
          </cell>
          <cell r="I101">
            <v>0.49614331465336126</v>
          </cell>
          <cell r="J101">
            <v>0.59271310737004301</v>
          </cell>
          <cell r="K101">
            <v>4.2083376666786312E-2</v>
          </cell>
          <cell r="P101">
            <v>2</v>
          </cell>
          <cell r="Q101">
            <v>3.8999999999999995</v>
          </cell>
        </row>
        <row r="102">
          <cell r="A102">
            <v>88</v>
          </cell>
          <cell r="B102" t="str">
            <v>Soap B</v>
          </cell>
          <cell r="C102">
            <v>3.5</v>
          </cell>
          <cell r="D102">
            <v>1</v>
          </cell>
          <cell r="E102">
            <v>1.5</v>
          </cell>
          <cell r="F102">
            <v>1</v>
          </cell>
          <cell r="G102">
            <v>1</v>
          </cell>
          <cell r="H102">
            <v>5</v>
          </cell>
          <cell r="I102">
            <v>-1.6135832125212926</v>
          </cell>
          <cell r="J102">
            <v>-1.5107499503642448</v>
          </cell>
          <cell r="K102">
            <v>0.59384320407576385</v>
          </cell>
          <cell r="P102">
            <v>3</v>
          </cell>
          <cell r="Q102">
            <v>2</v>
          </cell>
        </row>
        <row r="103">
          <cell r="A103">
            <v>89</v>
          </cell>
          <cell r="B103" t="str">
            <v>Soap B</v>
          </cell>
          <cell r="C103">
            <v>2.5</v>
          </cell>
          <cell r="D103">
            <v>7</v>
          </cell>
          <cell r="E103">
            <v>1.5</v>
          </cell>
          <cell r="F103">
            <v>7</v>
          </cell>
          <cell r="G103">
            <v>4</v>
          </cell>
          <cell r="H103">
            <v>2</v>
          </cell>
          <cell r="I103">
            <v>1.5510065782406881</v>
          </cell>
          <cell r="J103">
            <v>6.6847342936471071E-2</v>
          </cell>
          <cell r="K103">
            <v>-1.0614362781511688</v>
          </cell>
          <cell r="P103">
            <v>1</v>
          </cell>
          <cell r="Q103">
            <v>7</v>
          </cell>
        </row>
        <row r="104">
          <cell r="A104">
            <v>90</v>
          </cell>
          <cell r="B104" t="str">
            <v>Soap A</v>
          </cell>
          <cell r="C104">
            <v>2.2999999999999998</v>
          </cell>
          <cell r="D104">
            <v>7</v>
          </cell>
          <cell r="E104">
            <v>1</v>
          </cell>
          <cell r="F104">
            <v>7</v>
          </cell>
          <cell r="G104">
            <v>3</v>
          </cell>
          <cell r="H104">
            <v>3</v>
          </cell>
          <cell r="I104">
            <v>1.5510065782406881</v>
          </cell>
          <cell r="J104">
            <v>-0.45901842149710087</v>
          </cell>
          <cell r="K104">
            <v>-0.50967645074219126</v>
          </cell>
          <cell r="P104">
            <v>1</v>
          </cell>
          <cell r="Q104">
            <v>9.0999999999999979</v>
          </cell>
        </row>
        <row r="105">
          <cell r="A105">
            <v>91</v>
          </cell>
          <cell r="B105" t="str">
            <v>Soap A</v>
          </cell>
          <cell r="C105">
            <v>2</v>
          </cell>
          <cell r="D105">
            <v>10</v>
          </cell>
          <cell r="E105">
            <v>1</v>
          </cell>
          <cell r="F105">
            <v>7</v>
          </cell>
          <cell r="G105">
            <v>5</v>
          </cell>
          <cell r="H105">
            <v>1</v>
          </cell>
          <cell r="I105">
            <v>1.5510065782406881</v>
          </cell>
          <cell r="J105">
            <v>0.59271310737004301</v>
          </cell>
          <cell r="K105">
            <v>-1.6131961055601465</v>
          </cell>
          <cell r="P105">
            <v>1</v>
          </cell>
          <cell r="Q105">
            <v>10</v>
          </cell>
        </row>
        <row r="106">
          <cell r="A106">
            <v>92</v>
          </cell>
          <cell r="B106" t="str">
            <v>Soap B</v>
          </cell>
          <cell r="C106">
            <v>2.5</v>
          </cell>
          <cell r="D106">
            <v>6</v>
          </cell>
          <cell r="E106">
            <v>1.5</v>
          </cell>
          <cell r="F106">
            <v>3</v>
          </cell>
          <cell r="G106">
            <v>6</v>
          </cell>
          <cell r="H106">
            <v>5</v>
          </cell>
          <cell r="I106">
            <v>-0.5587199489339657</v>
          </cell>
          <cell r="J106">
            <v>1.1185788718036149</v>
          </cell>
          <cell r="K106">
            <v>0.59384320407576385</v>
          </cell>
          <cell r="P106">
            <v>2</v>
          </cell>
          <cell r="Q106">
            <v>6</v>
          </cell>
        </row>
        <row r="107">
          <cell r="A107">
            <v>93</v>
          </cell>
          <cell r="B107" t="str">
            <v>Soap B</v>
          </cell>
          <cell r="C107">
            <v>3.5</v>
          </cell>
          <cell r="D107">
            <v>2</v>
          </cell>
          <cell r="E107">
            <v>1.5</v>
          </cell>
          <cell r="F107">
            <v>3</v>
          </cell>
          <cell r="G107">
            <v>2</v>
          </cell>
          <cell r="H107">
            <v>5</v>
          </cell>
          <cell r="I107">
            <v>-0.5587199489339657</v>
          </cell>
          <cell r="J107">
            <v>-0.98488418593067284</v>
          </cell>
          <cell r="K107">
            <v>0.59384320407576385</v>
          </cell>
          <cell r="P107">
            <v>3</v>
          </cell>
          <cell r="Q107">
            <v>4</v>
          </cell>
        </row>
        <row r="108">
          <cell r="A108">
            <v>94</v>
          </cell>
          <cell r="B108" t="str">
            <v>Soap A</v>
          </cell>
          <cell r="C108">
            <v>2.2999999999999998</v>
          </cell>
          <cell r="D108">
            <v>5</v>
          </cell>
          <cell r="E108">
            <v>1</v>
          </cell>
          <cell r="F108">
            <v>4</v>
          </cell>
          <cell r="G108">
            <v>7</v>
          </cell>
          <cell r="H108">
            <v>5</v>
          </cell>
          <cell r="I108">
            <v>-3.1288317140302224E-2</v>
          </cell>
          <cell r="J108">
            <v>1.644444636237187</v>
          </cell>
          <cell r="K108">
            <v>0.59384320407576385</v>
          </cell>
          <cell r="P108">
            <v>2</v>
          </cell>
          <cell r="Q108">
            <v>6.4999999999999991</v>
          </cell>
        </row>
        <row r="109">
          <cell r="A109">
            <v>95</v>
          </cell>
          <cell r="B109" t="str">
            <v>Soap B</v>
          </cell>
          <cell r="C109">
            <v>3.5</v>
          </cell>
          <cell r="D109">
            <v>1</v>
          </cell>
          <cell r="E109">
            <v>1.5</v>
          </cell>
          <cell r="F109">
            <v>1</v>
          </cell>
          <cell r="G109">
            <v>1</v>
          </cell>
          <cell r="H109">
            <v>6</v>
          </cell>
          <cell r="I109">
            <v>-1.6135832125212926</v>
          </cell>
          <cell r="J109">
            <v>-1.5107499503642448</v>
          </cell>
          <cell r="K109">
            <v>1.1456030314847414</v>
          </cell>
          <cell r="P109">
            <v>3</v>
          </cell>
          <cell r="Q109">
            <v>2</v>
          </cell>
        </row>
        <row r="110">
          <cell r="A110">
            <v>96</v>
          </cell>
          <cell r="B110" t="str">
            <v>Soap B</v>
          </cell>
          <cell r="C110">
            <v>3</v>
          </cell>
          <cell r="D110">
            <v>5</v>
          </cell>
          <cell r="E110">
            <v>1.5</v>
          </cell>
          <cell r="F110">
            <v>4</v>
          </cell>
          <cell r="G110">
            <v>5</v>
          </cell>
          <cell r="H110">
            <v>3</v>
          </cell>
          <cell r="I110">
            <v>-3.1288317140302224E-2</v>
          </cell>
          <cell r="J110">
            <v>0.59271310737004301</v>
          </cell>
          <cell r="K110">
            <v>-0.50967645074219126</v>
          </cell>
          <cell r="P110">
            <v>2</v>
          </cell>
          <cell r="Q110">
            <v>7.5</v>
          </cell>
        </row>
        <row r="111">
          <cell r="A111">
            <v>97</v>
          </cell>
          <cell r="B111" t="str">
            <v>Soap A</v>
          </cell>
          <cell r="C111">
            <v>2.2999999999999998</v>
          </cell>
          <cell r="D111">
            <v>7</v>
          </cell>
          <cell r="E111">
            <v>1</v>
          </cell>
          <cell r="F111">
            <v>7</v>
          </cell>
          <cell r="G111">
            <v>5</v>
          </cell>
          <cell r="H111">
            <v>1</v>
          </cell>
          <cell r="I111">
            <v>1.5510065782406881</v>
          </cell>
          <cell r="J111">
            <v>0.59271310737004301</v>
          </cell>
          <cell r="K111">
            <v>-1.6131961055601465</v>
          </cell>
          <cell r="P111">
            <v>1</v>
          </cell>
          <cell r="Q111">
            <v>9.0999999999999979</v>
          </cell>
        </row>
        <row r="112">
          <cell r="A112">
            <v>98</v>
          </cell>
          <cell r="B112" t="str">
            <v>Soap B</v>
          </cell>
          <cell r="C112">
            <v>3</v>
          </cell>
          <cell r="D112">
            <v>6</v>
          </cell>
          <cell r="E112">
            <v>1.5</v>
          </cell>
          <cell r="F112">
            <v>5</v>
          </cell>
          <cell r="G112">
            <v>5</v>
          </cell>
          <cell r="H112">
            <v>5</v>
          </cell>
          <cell r="I112">
            <v>0.49614331465336126</v>
          </cell>
          <cell r="J112">
            <v>0.59271310737004301</v>
          </cell>
          <cell r="K112">
            <v>0.59384320407576385</v>
          </cell>
          <cell r="P112">
            <v>2</v>
          </cell>
          <cell r="Q112">
            <v>9</v>
          </cell>
        </row>
        <row r="113">
          <cell r="A113">
            <v>99</v>
          </cell>
          <cell r="B113" t="str">
            <v>Soap A</v>
          </cell>
          <cell r="C113">
            <v>2</v>
          </cell>
          <cell r="D113">
            <v>4</v>
          </cell>
          <cell r="E113">
            <v>1</v>
          </cell>
          <cell r="F113">
            <v>5</v>
          </cell>
          <cell r="G113">
            <v>7</v>
          </cell>
          <cell r="H113">
            <v>5</v>
          </cell>
          <cell r="I113">
            <v>0.49614331465336126</v>
          </cell>
          <cell r="J113">
            <v>1.644444636237187</v>
          </cell>
          <cell r="K113">
            <v>0.59384320407576385</v>
          </cell>
          <cell r="P113">
            <v>2</v>
          </cell>
          <cell r="Q113">
            <v>4</v>
          </cell>
        </row>
        <row r="114">
          <cell r="A114">
            <v>100</v>
          </cell>
          <cell r="B114" t="str">
            <v>Soap B</v>
          </cell>
          <cell r="C114">
            <v>2.5</v>
          </cell>
          <cell r="D114">
            <v>9</v>
          </cell>
          <cell r="E114">
            <v>1.5</v>
          </cell>
          <cell r="F114">
            <v>6</v>
          </cell>
          <cell r="G114">
            <v>3</v>
          </cell>
          <cell r="H114">
            <v>1</v>
          </cell>
          <cell r="I114">
            <v>1.0235749464470247</v>
          </cell>
          <cell r="J114">
            <v>-0.45901842149710087</v>
          </cell>
          <cell r="K114">
            <v>-1.6131961055601465</v>
          </cell>
          <cell r="P114">
            <v>1</v>
          </cell>
          <cell r="Q114">
            <v>9</v>
          </cell>
        </row>
        <row r="115">
          <cell r="A115">
            <v>101</v>
          </cell>
          <cell r="B115" t="str">
            <v>Soap A</v>
          </cell>
          <cell r="C115">
            <v>2.2999999999999998</v>
          </cell>
          <cell r="D115">
            <v>1</v>
          </cell>
          <cell r="E115">
            <v>1</v>
          </cell>
          <cell r="F115">
            <v>1</v>
          </cell>
          <cell r="G115">
            <v>3</v>
          </cell>
          <cell r="H115">
            <v>5</v>
          </cell>
          <cell r="I115">
            <v>-1.6135832125212926</v>
          </cell>
          <cell r="J115">
            <v>-0.45901842149710087</v>
          </cell>
          <cell r="K115">
            <v>0.59384320407576385</v>
          </cell>
          <cell r="P115">
            <v>3</v>
          </cell>
          <cell r="Q115">
            <v>1.2999999999999998</v>
          </cell>
        </row>
        <row r="116">
          <cell r="A116">
            <v>102</v>
          </cell>
          <cell r="B116" t="str">
            <v>Soap B</v>
          </cell>
          <cell r="C116">
            <v>3.5</v>
          </cell>
          <cell r="D116">
            <v>1</v>
          </cell>
          <cell r="E116">
            <v>1.5</v>
          </cell>
          <cell r="F116">
            <v>2</v>
          </cell>
          <cell r="G116">
            <v>1</v>
          </cell>
          <cell r="H116">
            <v>6</v>
          </cell>
          <cell r="I116">
            <v>-1.0861515807276292</v>
          </cell>
          <cell r="J116">
            <v>-1.5107499503642448</v>
          </cell>
          <cell r="K116">
            <v>1.1456030314847414</v>
          </cell>
          <cell r="P116">
            <v>3</v>
          </cell>
          <cell r="Q116">
            <v>2</v>
          </cell>
        </row>
        <row r="117">
          <cell r="A117">
            <v>103</v>
          </cell>
          <cell r="B117" t="str">
            <v>Soap B</v>
          </cell>
          <cell r="C117">
            <v>3.5</v>
          </cell>
          <cell r="D117">
            <v>1</v>
          </cell>
          <cell r="E117">
            <v>1.5</v>
          </cell>
          <cell r="F117">
            <v>1</v>
          </cell>
          <cell r="G117">
            <v>3</v>
          </cell>
          <cell r="H117">
            <v>5</v>
          </cell>
          <cell r="I117">
            <v>-1.6135832125212926</v>
          </cell>
          <cell r="J117">
            <v>-0.45901842149710087</v>
          </cell>
          <cell r="K117">
            <v>0.59384320407576385</v>
          </cell>
          <cell r="P117">
            <v>3</v>
          </cell>
          <cell r="Q117">
            <v>2</v>
          </cell>
        </row>
        <row r="118">
          <cell r="A118">
            <v>104</v>
          </cell>
          <cell r="B118" t="str">
            <v>Soap A</v>
          </cell>
          <cell r="C118">
            <v>2</v>
          </cell>
          <cell r="D118">
            <v>9</v>
          </cell>
          <cell r="E118">
            <v>1</v>
          </cell>
          <cell r="F118">
            <v>5</v>
          </cell>
          <cell r="G118">
            <v>4</v>
          </cell>
          <cell r="H118">
            <v>1</v>
          </cell>
          <cell r="I118">
            <v>0.49614331465336126</v>
          </cell>
          <cell r="J118">
            <v>6.6847342936471071E-2</v>
          </cell>
          <cell r="K118">
            <v>-1.6131961055601465</v>
          </cell>
          <cell r="P118">
            <v>1</v>
          </cell>
          <cell r="Q118">
            <v>9</v>
          </cell>
        </row>
        <row r="119">
          <cell r="A119">
            <v>105</v>
          </cell>
          <cell r="B119" t="str">
            <v>Soap B</v>
          </cell>
          <cell r="C119">
            <v>2.5</v>
          </cell>
          <cell r="D119">
            <v>9</v>
          </cell>
          <cell r="E119">
            <v>1.5</v>
          </cell>
          <cell r="F119">
            <v>6</v>
          </cell>
          <cell r="G119">
            <v>5</v>
          </cell>
          <cell r="H119">
            <v>3</v>
          </cell>
          <cell r="I119">
            <v>1.0235749464470247</v>
          </cell>
          <cell r="J119">
            <v>0.59271310737004301</v>
          </cell>
          <cell r="K119">
            <v>-0.50967645074219126</v>
          </cell>
          <cell r="P119">
            <v>1</v>
          </cell>
          <cell r="Q119">
            <v>9</v>
          </cell>
        </row>
        <row r="120">
          <cell r="A120">
            <v>106</v>
          </cell>
          <cell r="B120" t="str">
            <v>Soap B</v>
          </cell>
          <cell r="C120">
            <v>2.5</v>
          </cell>
          <cell r="D120">
            <v>7</v>
          </cell>
          <cell r="E120">
            <v>1.5</v>
          </cell>
          <cell r="F120">
            <v>7</v>
          </cell>
          <cell r="G120">
            <v>3</v>
          </cell>
          <cell r="H120">
            <v>3</v>
          </cell>
          <cell r="I120">
            <v>1.5510065782406881</v>
          </cell>
          <cell r="J120">
            <v>-0.45901842149710087</v>
          </cell>
          <cell r="K120">
            <v>-0.50967645074219126</v>
          </cell>
          <cell r="P120">
            <v>1</v>
          </cell>
          <cell r="Q120">
            <v>7</v>
          </cell>
        </row>
        <row r="121">
          <cell r="A121">
            <v>107</v>
          </cell>
          <cell r="B121" t="str">
            <v>Soap A</v>
          </cell>
          <cell r="C121">
            <v>2.2999999999999998</v>
          </cell>
          <cell r="D121">
            <v>2</v>
          </cell>
          <cell r="E121">
            <v>1</v>
          </cell>
          <cell r="F121">
            <v>1</v>
          </cell>
          <cell r="G121">
            <v>2</v>
          </cell>
          <cell r="H121">
            <v>6</v>
          </cell>
          <cell r="I121">
            <v>-1.6135832125212926</v>
          </cell>
          <cell r="J121">
            <v>-0.98488418593067284</v>
          </cell>
          <cell r="K121">
            <v>1.1456030314847414</v>
          </cell>
          <cell r="P121">
            <v>3</v>
          </cell>
          <cell r="Q121">
            <v>2.5999999999999996</v>
          </cell>
        </row>
        <row r="122">
          <cell r="A122">
            <v>108</v>
          </cell>
          <cell r="B122" t="str">
            <v>Soap B</v>
          </cell>
          <cell r="C122">
            <v>3</v>
          </cell>
          <cell r="D122">
            <v>7</v>
          </cell>
          <cell r="E122">
            <v>1.5</v>
          </cell>
          <cell r="F122">
            <v>7</v>
          </cell>
          <cell r="G122">
            <v>4</v>
          </cell>
          <cell r="H122">
            <v>3</v>
          </cell>
          <cell r="I122">
            <v>1.5510065782406881</v>
          </cell>
          <cell r="J122">
            <v>6.6847342936471071E-2</v>
          </cell>
          <cell r="K122">
            <v>-0.50967645074219126</v>
          </cell>
          <cell r="P122">
            <v>1</v>
          </cell>
          <cell r="Q122">
            <v>10.5</v>
          </cell>
        </row>
        <row r="123">
          <cell r="A123">
            <v>109</v>
          </cell>
          <cell r="B123" t="str">
            <v>Soap B</v>
          </cell>
          <cell r="C123">
            <v>3.5</v>
          </cell>
          <cell r="D123">
            <v>2</v>
          </cell>
          <cell r="E123">
            <v>1.5</v>
          </cell>
          <cell r="F123">
            <v>3</v>
          </cell>
          <cell r="G123">
            <v>3</v>
          </cell>
          <cell r="H123">
            <v>6</v>
          </cell>
          <cell r="I123">
            <v>-0.5587199489339657</v>
          </cell>
          <cell r="J123">
            <v>-0.45901842149710087</v>
          </cell>
          <cell r="K123">
            <v>1.1456030314847414</v>
          </cell>
          <cell r="P123">
            <v>3</v>
          </cell>
          <cell r="Q123">
            <v>4</v>
          </cell>
        </row>
        <row r="124">
          <cell r="A124">
            <v>110</v>
          </cell>
          <cell r="B124" t="str">
            <v>Soap B</v>
          </cell>
          <cell r="C124">
            <v>3.5</v>
          </cell>
          <cell r="D124">
            <v>1</v>
          </cell>
          <cell r="E124">
            <v>1.5</v>
          </cell>
          <cell r="F124">
            <v>2</v>
          </cell>
          <cell r="G124">
            <v>2</v>
          </cell>
          <cell r="H124">
            <v>5</v>
          </cell>
          <cell r="I124">
            <v>-1.0861515807276292</v>
          </cell>
          <cell r="J124">
            <v>-0.98488418593067284</v>
          </cell>
          <cell r="K124">
            <v>0.59384320407576385</v>
          </cell>
          <cell r="P124">
            <v>3</v>
          </cell>
          <cell r="Q124">
            <v>2</v>
          </cell>
        </row>
        <row r="125">
          <cell r="A125">
            <v>111</v>
          </cell>
          <cell r="B125" t="str">
            <v>Soap B</v>
          </cell>
          <cell r="C125">
            <v>3</v>
          </cell>
          <cell r="D125">
            <v>7</v>
          </cell>
          <cell r="E125">
            <v>1.5</v>
          </cell>
          <cell r="F125">
            <v>7</v>
          </cell>
          <cell r="G125">
            <v>3</v>
          </cell>
          <cell r="H125">
            <v>2</v>
          </cell>
          <cell r="I125">
            <v>1.5510065782406881</v>
          </cell>
          <cell r="J125">
            <v>-0.45901842149710087</v>
          </cell>
          <cell r="K125">
            <v>-1.0614362781511688</v>
          </cell>
          <cell r="P125">
            <v>1</v>
          </cell>
          <cell r="Q125">
            <v>10.5</v>
          </cell>
        </row>
        <row r="126">
          <cell r="A126">
            <v>112</v>
          </cell>
          <cell r="B126" t="str">
            <v>Soap A</v>
          </cell>
          <cell r="C126">
            <v>2.2999999999999998</v>
          </cell>
          <cell r="D126">
            <v>4</v>
          </cell>
          <cell r="E126">
            <v>1</v>
          </cell>
          <cell r="F126">
            <v>5</v>
          </cell>
          <cell r="G126">
            <v>7</v>
          </cell>
          <cell r="H126">
            <v>3</v>
          </cell>
          <cell r="I126">
            <v>0.49614331465336126</v>
          </cell>
          <cell r="J126">
            <v>1.644444636237187</v>
          </cell>
          <cell r="K126">
            <v>-0.50967645074219126</v>
          </cell>
          <cell r="P126">
            <v>2</v>
          </cell>
          <cell r="Q126">
            <v>5.1999999999999993</v>
          </cell>
        </row>
        <row r="127">
          <cell r="A127">
            <v>113</v>
          </cell>
          <cell r="B127" t="str">
            <v>Soap A</v>
          </cell>
          <cell r="C127">
            <v>2</v>
          </cell>
          <cell r="D127">
            <v>8</v>
          </cell>
          <cell r="E127">
            <v>1</v>
          </cell>
          <cell r="F127">
            <v>5</v>
          </cell>
          <cell r="G127">
            <v>3</v>
          </cell>
          <cell r="H127">
            <v>2</v>
          </cell>
          <cell r="I127">
            <v>0.49614331465336126</v>
          </cell>
          <cell r="J127">
            <v>-0.45901842149710087</v>
          </cell>
          <cell r="K127">
            <v>-1.0614362781511688</v>
          </cell>
          <cell r="P127">
            <v>1</v>
          </cell>
          <cell r="Q127">
            <v>8</v>
          </cell>
        </row>
        <row r="128">
          <cell r="A128">
            <v>114</v>
          </cell>
          <cell r="B128" t="str">
            <v>Soap A</v>
          </cell>
          <cell r="C128">
            <v>2.2999999999999998</v>
          </cell>
          <cell r="D128">
            <v>6</v>
          </cell>
          <cell r="E128">
            <v>1</v>
          </cell>
          <cell r="F128">
            <v>3</v>
          </cell>
          <cell r="G128">
            <v>7</v>
          </cell>
          <cell r="H128">
            <v>5</v>
          </cell>
          <cell r="I128">
            <v>-0.5587199489339657</v>
          </cell>
          <cell r="J128">
            <v>1.644444636237187</v>
          </cell>
          <cell r="K128">
            <v>0.59384320407576385</v>
          </cell>
          <cell r="P128">
            <v>2</v>
          </cell>
          <cell r="Q128">
            <v>7.7999999999999989</v>
          </cell>
        </row>
        <row r="129">
          <cell r="A129">
            <v>115</v>
          </cell>
          <cell r="B129" t="str">
            <v>Soap B</v>
          </cell>
          <cell r="C129">
            <v>2.5</v>
          </cell>
          <cell r="D129">
            <v>8</v>
          </cell>
          <cell r="E129">
            <v>1.5</v>
          </cell>
          <cell r="F129">
            <v>5</v>
          </cell>
          <cell r="G129">
            <v>5</v>
          </cell>
          <cell r="H129">
            <v>1</v>
          </cell>
          <cell r="I129">
            <v>0.49614331465336126</v>
          </cell>
          <cell r="J129">
            <v>0.59271310737004301</v>
          </cell>
          <cell r="K129">
            <v>-1.6131961055601465</v>
          </cell>
          <cell r="P129">
            <v>1</v>
          </cell>
          <cell r="Q129">
            <v>8</v>
          </cell>
        </row>
        <row r="130">
          <cell r="A130">
            <v>116</v>
          </cell>
          <cell r="B130" t="str">
            <v>Soap B</v>
          </cell>
          <cell r="C130">
            <v>3.5</v>
          </cell>
          <cell r="D130">
            <v>2</v>
          </cell>
          <cell r="E130">
            <v>1.5</v>
          </cell>
          <cell r="F130">
            <v>1</v>
          </cell>
          <cell r="G130">
            <v>3</v>
          </cell>
          <cell r="H130">
            <v>6</v>
          </cell>
          <cell r="I130">
            <v>-1.6135832125212926</v>
          </cell>
          <cell r="J130">
            <v>-0.45901842149710087</v>
          </cell>
          <cell r="K130">
            <v>1.1456030314847414</v>
          </cell>
          <cell r="P130">
            <v>3</v>
          </cell>
          <cell r="Q130">
            <v>4</v>
          </cell>
        </row>
        <row r="131">
          <cell r="A131">
            <v>117</v>
          </cell>
          <cell r="B131" t="str">
            <v>Soap B</v>
          </cell>
          <cell r="C131">
            <v>2.5</v>
          </cell>
          <cell r="D131">
            <v>9</v>
          </cell>
          <cell r="E131">
            <v>1.5</v>
          </cell>
          <cell r="F131">
            <v>6</v>
          </cell>
          <cell r="G131">
            <v>4</v>
          </cell>
          <cell r="H131">
            <v>2</v>
          </cell>
          <cell r="I131">
            <v>1.0235749464470247</v>
          </cell>
          <cell r="J131">
            <v>6.6847342936471071E-2</v>
          </cell>
          <cell r="K131">
            <v>-1.0614362781511688</v>
          </cell>
          <cell r="P131">
            <v>1</v>
          </cell>
          <cell r="Q131">
            <v>9</v>
          </cell>
        </row>
        <row r="132">
          <cell r="A132">
            <v>118</v>
          </cell>
          <cell r="B132" t="str">
            <v>Soap B</v>
          </cell>
          <cell r="C132">
            <v>3</v>
          </cell>
          <cell r="D132">
            <v>7</v>
          </cell>
          <cell r="E132">
            <v>1.5</v>
          </cell>
          <cell r="F132">
            <v>5</v>
          </cell>
          <cell r="G132">
            <v>3</v>
          </cell>
          <cell r="H132">
            <v>2</v>
          </cell>
          <cell r="I132">
            <v>0.49614331465336126</v>
          </cell>
          <cell r="J132">
            <v>-0.45901842149710087</v>
          </cell>
          <cell r="K132">
            <v>-1.0614362781511688</v>
          </cell>
          <cell r="P132">
            <v>1</v>
          </cell>
          <cell r="Q132">
            <v>10.5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1">
          <cell r="J11">
            <v>2</v>
          </cell>
          <cell r="K11">
            <v>2</v>
          </cell>
          <cell r="L11">
            <v>4</v>
          </cell>
        </row>
        <row r="12">
          <cell r="J12">
            <v>1</v>
          </cell>
          <cell r="K12">
            <v>4</v>
          </cell>
          <cell r="L12">
            <v>3</v>
          </cell>
        </row>
        <row r="13">
          <cell r="J13">
            <v>4</v>
          </cell>
          <cell r="K13">
            <v>1</v>
          </cell>
          <cell r="L13">
            <v>3</v>
          </cell>
        </row>
        <row r="14">
          <cell r="J14">
            <v>1</v>
          </cell>
          <cell r="K14">
            <v>3</v>
          </cell>
          <cell r="L14">
            <v>3</v>
          </cell>
        </row>
        <row r="15">
          <cell r="J15">
            <v>3</v>
          </cell>
          <cell r="K15">
            <v>1</v>
          </cell>
          <cell r="L15">
            <v>4</v>
          </cell>
        </row>
        <row r="16">
          <cell r="J16">
            <v>2</v>
          </cell>
          <cell r="K16">
            <v>4</v>
          </cell>
          <cell r="L16">
            <v>3</v>
          </cell>
        </row>
        <row r="17">
          <cell r="J17">
            <v>3</v>
          </cell>
          <cell r="K17">
            <v>1</v>
          </cell>
          <cell r="L17">
            <v>1</v>
          </cell>
        </row>
        <row r="18">
          <cell r="J18">
            <v>2</v>
          </cell>
          <cell r="K18">
            <v>1</v>
          </cell>
          <cell r="L18">
            <v>1</v>
          </cell>
        </row>
        <row r="19">
          <cell r="J19">
            <v>3</v>
          </cell>
          <cell r="K19">
            <v>4</v>
          </cell>
          <cell r="L19">
            <v>4</v>
          </cell>
        </row>
        <row r="20">
          <cell r="J20">
            <v>4</v>
          </cell>
          <cell r="K20">
            <v>1</v>
          </cell>
          <cell r="L20">
            <v>1</v>
          </cell>
        </row>
        <row r="21">
          <cell r="J21">
            <v>1</v>
          </cell>
          <cell r="K21">
            <v>3</v>
          </cell>
          <cell r="L21">
            <v>2</v>
          </cell>
        </row>
        <row r="22">
          <cell r="J22">
            <v>3</v>
          </cell>
          <cell r="K22">
            <v>2</v>
          </cell>
          <cell r="L22">
            <v>2</v>
          </cell>
        </row>
        <row r="23">
          <cell r="J23">
            <v>2</v>
          </cell>
          <cell r="K23">
            <v>3</v>
          </cell>
          <cell r="L23">
            <v>2</v>
          </cell>
        </row>
        <row r="24">
          <cell r="J24">
            <v>4</v>
          </cell>
          <cell r="K24">
            <v>1</v>
          </cell>
          <cell r="L24">
            <v>1</v>
          </cell>
        </row>
        <row r="25">
          <cell r="J25">
            <v>1</v>
          </cell>
          <cell r="K25">
            <v>4</v>
          </cell>
          <cell r="L25">
            <v>4</v>
          </cell>
        </row>
        <row r="26">
          <cell r="J26">
            <v>4</v>
          </cell>
          <cell r="K26">
            <v>2</v>
          </cell>
          <cell r="L26">
            <v>2</v>
          </cell>
        </row>
        <row r="27">
          <cell r="J27">
            <v>3</v>
          </cell>
          <cell r="K27">
            <v>3</v>
          </cell>
          <cell r="L27">
            <v>2</v>
          </cell>
        </row>
        <row r="28">
          <cell r="J28">
            <v>1</v>
          </cell>
          <cell r="K28">
            <v>4</v>
          </cell>
          <cell r="L28">
            <v>3</v>
          </cell>
        </row>
        <row r="29">
          <cell r="J29">
            <v>3</v>
          </cell>
          <cell r="K29">
            <v>1</v>
          </cell>
          <cell r="L29">
            <v>1</v>
          </cell>
        </row>
        <row r="30">
          <cell r="J30">
            <v>2</v>
          </cell>
          <cell r="K30">
            <v>3</v>
          </cell>
          <cell r="L30">
            <v>4</v>
          </cell>
        </row>
      </sheetData>
      <sheetData sheetId="23" refreshError="1"/>
      <sheetData sheetId="24" refreshError="1"/>
      <sheetData sheetId="25">
        <row r="11">
          <cell r="A11">
            <v>1</v>
          </cell>
        </row>
      </sheetData>
      <sheetData sheetId="26" refreshError="1"/>
      <sheetData sheetId="27" refreshError="1"/>
      <sheetData sheetId="28">
        <row r="32">
          <cell r="F32">
            <v>100000</v>
          </cell>
          <cell r="G32">
            <v>125.48760330578511</v>
          </cell>
          <cell r="H32">
            <v>122.66115702479338</v>
          </cell>
          <cell r="I32">
            <v>165.27479338842974</v>
          </cell>
          <cell r="J32">
            <v>7.2913223140495855</v>
          </cell>
          <cell r="K32">
            <v>106.62190082644628</v>
          </cell>
        </row>
        <row r="33">
          <cell r="F33">
            <v>125.48760330578511</v>
          </cell>
          <cell r="G33">
            <v>100000</v>
          </cell>
          <cell r="H33">
            <v>100.16528925619835</v>
          </cell>
          <cell r="I33">
            <v>58.291322314049587</v>
          </cell>
          <cell r="J33">
            <v>81.283057851239676</v>
          </cell>
          <cell r="K33">
            <v>61.621900826446279</v>
          </cell>
        </row>
        <row r="34">
          <cell r="F34">
            <v>122.66115702479338</v>
          </cell>
          <cell r="G34">
            <v>100.16528925619835</v>
          </cell>
          <cell r="H34">
            <v>100000</v>
          </cell>
          <cell r="I34">
            <v>87.621900826446279</v>
          </cell>
          <cell r="J34">
            <v>87.621900826446279</v>
          </cell>
          <cell r="K34">
            <v>14.291322314049587</v>
          </cell>
        </row>
        <row r="35">
          <cell r="F35">
            <v>165.27479338842974</v>
          </cell>
          <cell r="G35">
            <v>58.291322314049587</v>
          </cell>
          <cell r="H35">
            <v>87.621900826446279</v>
          </cell>
          <cell r="I35">
            <v>100000</v>
          </cell>
          <cell r="J35">
            <v>106.48760330578513</v>
          </cell>
          <cell r="K35">
            <v>67.661157024793397</v>
          </cell>
        </row>
        <row r="36">
          <cell r="F36">
            <v>7.2913223140495855</v>
          </cell>
          <cell r="G36">
            <v>81.283057851239676</v>
          </cell>
          <cell r="H36">
            <v>87.621900826446279</v>
          </cell>
          <cell r="I36">
            <v>106.48760330578513</v>
          </cell>
          <cell r="J36">
            <v>100000</v>
          </cell>
          <cell r="K36">
            <v>68.165289256198349</v>
          </cell>
        </row>
        <row r="37">
          <cell r="F37">
            <v>106.62190082644628</v>
          </cell>
          <cell r="G37">
            <v>61.621900826446279</v>
          </cell>
          <cell r="H37">
            <v>14.291322314049587</v>
          </cell>
          <cell r="I37">
            <v>67.661157024793397</v>
          </cell>
          <cell r="J37">
            <v>68.165289256198349</v>
          </cell>
          <cell r="K37">
            <v>100000</v>
          </cell>
        </row>
        <row r="41">
          <cell r="F41">
            <v>31</v>
          </cell>
          <cell r="G41">
            <v>27</v>
          </cell>
          <cell r="H41">
            <v>25</v>
          </cell>
          <cell r="I41">
            <v>29</v>
          </cell>
          <cell r="J41">
            <v>1</v>
          </cell>
          <cell r="K41">
            <v>23</v>
          </cell>
        </row>
        <row r="42">
          <cell r="F42">
            <v>27</v>
          </cell>
          <cell r="G42">
            <v>31</v>
          </cell>
          <cell r="H42">
            <v>19</v>
          </cell>
          <cell r="I42">
            <v>5</v>
          </cell>
          <cell r="J42">
            <v>13</v>
          </cell>
          <cell r="K42">
            <v>7</v>
          </cell>
        </row>
        <row r="43">
          <cell r="F43">
            <v>25</v>
          </cell>
          <cell r="G43">
            <v>19</v>
          </cell>
          <cell r="H43">
            <v>31</v>
          </cell>
          <cell r="I43">
            <v>15</v>
          </cell>
          <cell r="J43">
            <v>15</v>
          </cell>
          <cell r="K43">
            <v>3</v>
          </cell>
        </row>
        <row r="44">
          <cell r="F44">
            <v>29</v>
          </cell>
          <cell r="G44">
            <v>5</v>
          </cell>
          <cell r="H44">
            <v>15</v>
          </cell>
          <cell r="I44">
            <v>31</v>
          </cell>
          <cell r="J44">
            <v>21</v>
          </cell>
          <cell r="K44">
            <v>9</v>
          </cell>
        </row>
        <row r="45">
          <cell r="F45">
            <v>1</v>
          </cell>
          <cell r="G45">
            <v>13</v>
          </cell>
          <cell r="H45">
            <v>15</v>
          </cell>
          <cell r="I45">
            <v>21</v>
          </cell>
          <cell r="J45">
            <v>31</v>
          </cell>
          <cell r="K45">
            <v>11</v>
          </cell>
        </row>
        <row r="46">
          <cell r="F46">
            <v>23</v>
          </cell>
          <cell r="G46">
            <v>7</v>
          </cell>
          <cell r="H46">
            <v>3</v>
          </cell>
          <cell r="I46">
            <v>9</v>
          </cell>
          <cell r="J46">
            <v>11</v>
          </cell>
          <cell r="K46">
            <v>31</v>
          </cell>
        </row>
        <row r="51">
          <cell r="F51">
            <v>1000000</v>
          </cell>
          <cell r="G51">
            <v>2.1980354144507253</v>
          </cell>
          <cell r="H51">
            <v>2.9041903691422049E-2</v>
          </cell>
          <cell r="I51">
            <v>2.2756018266824776</v>
          </cell>
          <cell r="J51">
            <v>3.6883178085665207E-2</v>
          </cell>
          <cell r="K51">
            <v>1.9547599584796773</v>
          </cell>
        </row>
        <row r="52">
          <cell r="F52">
            <v>2.1980354144507253</v>
          </cell>
          <cell r="G52">
            <v>1000000</v>
          </cell>
          <cell r="H52">
            <v>1.7391566255465394</v>
          </cell>
          <cell r="I52">
            <v>1.1950951188496805E-3</v>
          </cell>
          <cell r="J52">
            <v>1.7606997103321507</v>
          </cell>
          <cell r="K52">
            <v>9.3378953561047365E-3</v>
          </cell>
        </row>
        <row r="53">
          <cell r="F53">
            <v>2.9041903691422049E-2</v>
          </cell>
          <cell r="G53">
            <v>1.7391566255465394</v>
          </cell>
          <cell r="H53">
            <v>1000000</v>
          </cell>
          <cell r="I53">
            <v>1.8102907346112564</v>
          </cell>
          <cell r="J53">
            <v>3.865582999006465E-3</v>
          </cell>
          <cell r="K53">
            <v>1.519875830973124</v>
          </cell>
        </row>
        <row r="54">
          <cell r="F54">
            <v>2.2756018266824776</v>
          </cell>
          <cell r="G54">
            <v>1.1950951188496805E-3</v>
          </cell>
          <cell r="H54">
            <v>1.8102907346112564</v>
          </cell>
          <cell r="I54">
            <v>1000000</v>
          </cell>
          <cell r="J54">
            <v>1.83493123662298</v>
          </cell>
          <cell r="K54">
            <v>1.702477716555411E-2</v>
          </cell>
        </row>
        <row r="55">
          <cell r="F55">
            <v>3.6883178085665207E-2</v>
          </cell>
          <cell r="G55">
            <v>1.7606997103321507</v>
          </cell>
          <cell r="H55">
            <v>3.865582999006465E-3</v>
          </cell>
          <cell r="I55">
            <v>1.83493123662298</v>
          </cell>
          <cell r="J55">
            <v>1000000</v>
          </cell>
          <cell r="K55">
            <v>1.5349762874779804</v>
          </cell>
        </row>
        <row r="56">
          <cell r="F56">
            <v>1.9547599584796773</v>
          </cell>
          <cell r="G56">
            <v>9.3378953561047365E-3</v>
          </cell>
          <cell r="H56">
            <v>1.519875830973124</v>
          </cell>
          <cell r="I56">
            <v>1.702477716555411E-2</v>
          </cell>
          <cell r="J56">
            <v>1.5349762874779804</v>
          </cell>
          <cell r="K56">
            <v>1000000</v>
          </cell>
        </row>
        <row r="60">
          <cell r="F60">
            <v>31</v>
          </cell>
          <cell r="G60">
            <v>27</v>
          </cell>
          <cell r="H60">
            <v>9</v>
          </cell>
          <cell r="I60">
            <v>29</v>
          </cell>
          <cell r="J60">
            <v>11</v>
          </cell>
          <cell r="K60">
            <v>25</v>
          </cell>
        </row>
        <row r="61">
          <cell r="F61">
            <v>27</v>
          </cell>
          <cell r="G61">
            <v>31</v>
          </cell>
          <cell r="H61">
            <v>17</v>
          </cell>
          <cell r="I61">
            <v>1</v>
          </cell>
          <cell r="J61">
            <v>19</v>
          </cell>
          <cell r="K61">
            <v>5</v>
          </cell>
        </row>
        <row r="62">
          <cell r="F62">
            <v>9</v>
          </cell>
          <cell r="G62">
            <v>17</v>
          </cell>
          <cell r="H62">
            <v>31</v>
          </cell>
          <cell r="I62">
            <v>21</v>
          </cell>
          <cell r="J62">
            <v>3</v>
          </cell>
          <cell r="K62">
            <v>13</v>
          </cell>
        </row>
        <row r="63">
          <cell r="F63">
            <v>29</v>
          </cell>
          <cell r="G63">
            <v>1</v>
          </cell>
          <cell r="H63">
            <v>21</v>
          </cell>
          <cell r="I63">
            <v>31</v>
          </cell>
          <cell r="J63">
            <v>23</v>
          </cell>
          <cell r="K63">
            <v>7</v>
          </cell>
        </row>
        <row r="64">
          <cell r="F64">
            <v>11</v>
          </cell>
          <cell r="G64">
            <v>19</v>
          </cell>
          <cell r="H64">
            <v>3</v>
          </cell>
          <cell r="I64">
            <v>23</v>
          </cell>
          <cell r="J64">
            <v>31</v>
          </cell>
          <cell r="K64">
            <v>15</v>
          </cell>
        </row>
        <row r="65">
          <cell r="F65">
            <v>25</v>
          </cell>
          <cell r="G65">
            <v>5</v>
          </cell>
          <cell r="H65">
            <v>13</v>
          </cell>
          <cell r="I65">
            <v>7</v>
          </cell>
          <cell r="J65">
            <v>15</v>
          </cell>
          <cell r="K65">
            <v>31</v>
          </cell>
        </row>
      </sheetData>
      <sheetData sheetId="29" refreshError="1"/>
      <sheetData sheetId="30">
        <row r="25">
          <cell r="F25">
            <v>1000000</v>
          </cell>
          <cell r="G25">
            <v>190800</v>
          </cell>
          <cell r="H25">
            <v>92400</v>
          </cell>
          <cell r="I25">
            <v>153900</v>
          </cell>
          <cell r="J25">
            <v>67200</v>
          </cell>
          <cell r="K25">
            <v>54000</v>
          </cell>
        </row>
        <row r="26">
          <cell r="F26">
            <v>190800</v>
          </cell>
          <cell r="G26">
            <v>1000000</v>
          </cell>
          <cell r="H26">
            <v>98400</v>
          </cell>
          <cell r="I26">
            <v>36900</v>
          </cell>
          <cell r="J26">
            <v>258000</v>
          </cell>
          <cell r="K26">
            <v>244800</v>
          </cell>
        </row>
        <row r="27">
          <cell r="F27">
            <v>92400</v>
          </cell>
          <cell r="G27">
            <v>98400</v>
          </cell>
          <cell r="H27">
            <v>1000000</v>
          </cell>
          <cell r="I27">
            <v>61500</v>
          </cell>
          <cell r="J27">
            <v>159600</v>
          </cell>
          <cell r="K27">
            <v>146400</v>
          </cell>
        </row>
        <row r="28">
          <cell r="F28">
            <v>153900</v>
          </cell>
          <cell r="G28">
            <v>36900</v>
          </cell>
          <cell r="H28">
            <v>61500</v>
          </cell>
          <cell r="I28">
            <v>1000000</v>
          </cell>
          <cell r="J28">
            <v>221100</v>
          </cell>
          <cell r="K28">
            <v>207900</v>
          </cell>
        </row>
        <row r="29">
          <cell r="F29">
            <v>67200</v>
          </cell>
          <cell r="G29">
            <v>258000</v>
          </cell>
          <cell r="H29">
            <v>159600</v>
          </cell>
          <cell r="I29">
            <v>221100</v>
          </cell>
          <cell r="J29">
            <v>1000000</v>
          </cell>
          <cell r="K29">
            <v>13200</v>
          </cell>
        </row>
        <row r="30">
          <cell r="F30">
            <v>54000</v>
          </cell>
          <cell r="G30">
            <v>244800</v>
          </cell>
          <cell r="H30">
            <v>146400</v>
          </cell>
          <cell r="I30">
            <v>207900</v>
          </cell>
          <cell r="J30">
            <v>13200</v>
          </cell>
          <cell r="K30">
            <v>1000000</v>
          </cell>
        </row>
        <row r="33">
          <cell r="F33">
            <v>31</v>
          </cell>
          <cell r="G33">
            <v>21</v>
          </cell>
          <cell r="H33">
            <v>11</v>
          </cell>
          <cell r="I33">
            <v>17</v>
          </cell>
          <cell r="J33">
            <v>9</v>
          </cell>
          <cell r="K33">
            <v>5</v>
          </cell>
        </row>
        <row r="34">
          <cell r="F34">
            <v>21</v>
          </cell>
          <cell r="G34">
            <v>31</v>
          </cell>
          <cell r="H34">
            <v>13</v>
          </cell>
          <cell r="I34">
            <v>3</v>
          </cell>
          <cell r="J34">
            <v>29</v>
          </cell>
          <cell r="K34">
            <v>27</v>
          </cell>
        </row>
        <row r="35">
          <cell r="F35">
            <v>11</v>
          </cell>
          <cell r="G35">
            <v>13</v>
          </cell>
          <cell r="H35">
            <v>31</v>
          </cell>
          <cell r="I35">
            <v>7</v>
          </cell>
          <cell r="J35">
            <v>19</v>
          </cell>
          <cell r="K35">
            <v>15</v>
          </cell>
        </row>
        <row r="36">
          <cell r="F36">
            <v>17</v>
          </cell>
          <cell r="G36">
            <v>3</v>
          </cell>
          <cell r="H36">
            <v>7</v>
          </cell>
          <cell r="I36">
            <v>31</v>
          </cell>
          <cell r="J36">
            <v>25</v>
          </cell>
          <cell r="K36">
            <v>23</v>
          </cell>
        </row>
        <row r="37">
          <cell r="F37">
            <v>9</v>
          </cell>
          <cell r="G37">
            <v>29</v>
          </cell>
          <cell r="H37">
            <v>19</v>
          </cell>
          <cell r="I37">
            <v>25</v>
          </cell>
          <cell r="J37">
            <v>31</v>
          </cell>
          <cell r="K37">
            <v>1</v>
          </cell>
        </row>
        <row r="38">
          <cell r="F38">
            <v>5</v>
          </cell>
          <cell r="G38">
            <v>27</v>
          </cell>
          <cell r="H38">
            <v>15</v>
          </cell>
          <cell r="I38">
            <v>23</v>
          </cell>
          <cell r="J38">
            <v>1</v>
          </cell>
          <cell r="K38">
            <v>31</v>
          </cell>
        </row>
        <row r="42">
          <cell r="B42">
            <v>3.7230388367151441</v>
          </cell>
          <cell r="C42">
            <v>2.4192316731931074</v>
          </cell>
          <cell r="F42">
            <v>1000000</v>
          </cell>
          <cell r="G42">
            <v>5.7163877775688841</v>
          </cell>
          <cell r="H42">
            <v>1.5084944151768667</v>
          </cell>
          <cell r="I42">
            <v>3.8993795386341721</v>
          </cell>
          <cell r="J42">
            <v>0.89620963821208388</v>
          </cell>
          <cell r="K42">
            <v>0.5444953688404458</v>
          </cell>
        </row>
        <row r="43">
          <cell r="B43">
            <v>1.4540175230303893</v>
          </cell>
          <cell r="C43">
            <v>1.6656203306476325</v>
          </cell>
          <cell r="F43">
            <v>5.7163877775688841</v>
          </cell>
          <cell r="G43">
            <v>1000000</v>
          </cell>
          <cell r="H43">
            <v>1.3745783752095586</v>
          </cell>
          <cell r="I43">
            <v>0.33482933659413866</v>
          </cell>
          <cell r="J43">
            <v>10.926979264567732</v>
          </cell>
          <cell r="K43">
            <v>9.785150513821181</v>
          </cell>
        </row>
        <row r="44">
          <cell r="B44">
            <v>2.5959790616203118</v>
          </cell>
          <cell r="C44">
            <v>1.9311428712932353</v>
          </cell>
          <cell r="F44">
            <v>1.5084944151768667</v>
          </cell>
          <cell r="G44">
            <v>1.3745783752095586</v>
          </cell>
          <cell r="H44">
            <v>1000000</v>
          </cell>
          <cell r="I44">
            <v>0.5801511225595184</v>
          </cell>
          <cell r="J44">
            <v>4.5505442611994011</v>
          </cell>
          <cell r="K44">
            <v>3.864189590944112</v>
          </cell>
        </row>
        <row r="45">
          <cell r="B45">
            <v>1.9957431249293867</v>
          </cell>
          <cell r="C45">
            <v>1.4622420898220523</v>
          </cell>
          <cell r="F45">
            <v>1.5084944151768667</v>
          </cell>
          <cell r="G45">
            <v>0.33482933659413866</v>
          </cell>
          <cell r="H45">
            <v>0.5801511225595184</v>
          </cell>
          <cell r="I45">
            <v>1000000</v>
          </cell>
          <cell r="J45">
            <v>8.0894089315055773</v>
          </cell>
          <cell r="K45">
            <v>7.331048598599649</v>
          </cell>
        </row>
        <row r="46">
          <cell r="B46">
            <v>4.6696413817269162</v>
          </cell>
          <cell r="C46">
            <v>2.4316114950545011</v>
          </cell>
          <cell r="F46">
            <v>0.89620963821208388</v>
          </cell>
          <cell r="G46">
            <v>10.926979264567732</v>
          </cell>
          <cell r="H46">
            <v>4.5505442611994011</v>
          </cell>
          <cell r="I46">
            <v>8.0894089315055773</v>
          </cell>
          <cell r="J46">
            <v>1000000</v>
          </cell>
          <cell r="K46">
            <v>0.13142251947913838</v>
          </cell>
        </row>
        <row r="47">
          <cell r="B47">
            <v>4.4111224447454944</v>
          </cell>
          <cell r="C47">
            <v>2.6857580643823873</v>
          </cell>
          <cell r="F47">
            <v>0.5444953688404458</v>
          </cell>
          <cell r="G47">
            <v>9.785150513821181</v>
          </cell>
          <cell r="H47">
            <v>3.864189590944112</v>
          </cell>
          <cell r="I47">
            <v>7.331048598599649</v>
          </cell>
          <cell r="J47">
            <v>0.13142251947913838</v>
          </cell>
          <cell r="K47">
            <v>1000000</v>
          </cell>
        </row>
        <row r="51">
          <cell r="F51">
            <v>31</v>
          </cell>
          <cell r="G51">
            <v>21</v>
          </cell>
          <cell r="H51">
            <v>13</v>
          </cell>
          <cell r="I51">
            <v>18</v>
          </cell>
          <cell r="J51">
            <v>9</v>
          </cell>
          <cell r="K51">
            <v>5</v>
          </cell>
        </row>
        <row r="52">
          <cell r="F52">
            <v>21</v>
          </cell>
          <cell r="G52">
            <v>31</v>
          </cell>
          <cell r="H52">
            <v>11</v>
          </cell>
          <cell r="I52">
            <v>3</v>
          </cell>
          <cell r="J52">
            <v>29</v>
          </cell>
          <cell r="K52">
            <v>27</v>
          </cell>
        </row>
        <row r="53">
          <cell r="F53">
            <v>13</v>
          </cell>
          <cell r="G53">
            <v>11</v>
          </cell>
          <cell r="H53">
            <v>31</v>
          </cell>
          <cell r="I53">
            <v>7</v>
          </cell>
          <cell r="J53">
            <v>19</v>
          </cell>
          <cell r="K53">
            <v>16</v>
          </cell>
        </row>
        <row r="54">
          <cell r="F54">
            <v>13</v>
          </cell>
          <cell r="G54">
            <v>3</v>
          </cell>
          <cell r="H54">
            <v>7</v>
          </cell>
          <cell r="I54">
            <v>31</v>
          </cell>
          <cell r="J54">
            <v>25</v>
          </cell>
          <cell r="K54">
            <v>23</v>
          </cell>
        </row>
        <row r="55">
          <cell r="F55">
            <v>9</v>
          </cell>
          <cell r="G55">
            <v>29</v>
          </cell>
          <cell r="H55">
            <v>19</v>
          </cell>
          <cell r="I55">
            <v>25</v>
          </cell>
          <cell r="J55">
            <v>31</v>
          </cell>
          <cell r="K55">
            <v>1</v>
          </cell>
        </row>
        <row r="56">
          <cell r="F56">
            <v>5</v>
          </cell>
          <cell r="G56">
            <v>27</v>
          </cell>
          <cell r="H56">
            <v>16</v>
          </cell>
          <cell r="I56">
            <v>23</v>
          </cell>
          <cell r="J56">
            <v>1</v>
          </cell>
          <cell r="K56">
            <v>31</v>
          </cell>
        </row>
      </sheetData>
      <sheetData sheetId="31" refreshError="1"/>
      <sheetData sheetId="32" refreshError="1"/>
      <sheetData sheetId="33" refreshError="1"/>
      <sheetData sheetId="34" refreshError="1"/>
      <sheetData sheetId="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itialization"/>
    </sheetNames>
    <sheetDataSet>
      <sheetData sheetId="0"/>
      <sheetData sheetId="1">
        <row r="3">
          <cell r="H3">
            <v>1</v>
          </cell>
          <cell r="I3">
            <v>0.88914901811009173</v>
          </cell>
        </row>
        <row r="4">
          <cell r="H4">
            <v>2</v>
          </cell>
          <cell r="I4">
            <v>0.87316243691740825</v>
          </cell>
        </row>
        <row r="5">
          <cell r="H5">
            <v>3</v>
          </cell>
          <cell r="I5">
            <v>0.96828148713370887</v>
          </cell>
        </row>
        <row r="6">
          <cell r="G6">
            <v>145475.01054455567</v>
          </cell>
          <cell r="H6">
            <v>4</v>
          </cell>
          <cell r="I6">
            <v>0.99184752819112798</v>
          </cell>
        </row>
        <row r="7">
          <cell r="H7">
            <v>5</v>
          </cell>
          <cell r="I7">
            <v>1.0217546343978547</v>
          </cell>
        </row>
        <row r="8">
          <cell r="H8">
            <v>6</v>
          </cell>
          <cell r="I8">
            <v>1.0146077245222471</v>
          </cell>
        </row>
        <row r="9">
          <cell r="H9">
            <v>7</v>
          </cell>
          <cell r="I9">
            <v>1.0122963533671319</v>
          </cell>
        </row>
        <row r="10">
          <cell r="H10">
            <v>8</v>
          </cell>
          <cell r="I10">
            <v>1.0056779435195013</v>
          </cell>
        </row>
        <row r="11">
          <cell r="H11">
            <v>9</v>
          </cell>
          <cell r="I11">
            <v>0.97302248313635975</v>
          </cell>
        </row>
        <row r="12">
          <cell r="H12">
            <v>10</v>
          </cell>
          <cell r="I12">
            <v>1.0038849547820325</v>
          </cell>
        </row>
        <row r="13">
          <cell r="H13">
            <v>11</v>
          </cell>
          <cell r="I13">
            <v>1.0125861742462181</v>
          </cell>
        </row>
        <row r="14">
          <cell r="H14">
            <v>12</v>
          </cell>
          <cell r="I14">
            <v>1.2337292624310967</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IZATION"/>
      <sheetName val="WALMART"/>
      <sheetName val="dishwashers"/>
      <sheetName val="AMZ"/>
    </sheetNames>
    <sheetDataSet>
      <sheetData sheetId="0"/>
      <sheetData sheetId="1"/>
      <sheetData sheetId="2" refreshError="1"/>
      <sheetData sheetId="3">
        <row r="3">
          <cell r="F3">
            <v>5.1923011954292111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joint Analysis"/>
      <sheetName val="Conjoint Analysis (Answer)"/>
      <sheetName val="Cluster Analysis"/>
      <sheetName val="Cluster (6-Cluster Answer)"/>
      <sheetName val="Cluster (5-Cluster Answer)"/>
      <sheetName val="Cluster (3-Cluster Answer)"/>
      <sheetName val="CLV Multiplier"/>
      <sheetName val="MDS Analysis"/>
      <sheetName val="MDS Analysis (Answer-CustMDS)"/>
      <sheetName val="MDS Analysis (2)"/>
      <sheetName val="Visualization Data"/>
      <sheetName val="Visualization (Analysis)"/>
      <sheetName val="Data Determination"/>
      <sheetName val="Social Media"/>
      <sheetName val="Single &amp; Multiple Pricing (New)"/>
      <sheetName val="Exam Score Sheet"/>
    </sheetNames>
    <sheetDataSet>
      <sheetData sheetId="0" refreshError="1"/>
      <sheetData sheetId="1" refreshError="1"/>
      <sheetData sheetId="2" refreshError="1"/>
      <sheetData sheetId="3">
        <row r="13">
          <cell r="M13">
            <v>2.7548870508295535</v>
          </cell>
          <cell r="N13">
            <v>-1.3745129007345527</v>
          </cell>
          <cell r="O13">
            <v>-1.9635800010536495</v>
          </cell>
          <cell r="P13">
            <v>0.27753743355991994</v>
          </cell>
          <cell r="Q13">
            <v>-0.572351471472339</v>
          </cell>
          <cell r="R13">
            <v>7.497534111391517E-2</v>
          </cell>
        </row>
        <row r="14">
          <cell r="M14">
            <v>-0.94294791672689415</v>
          </cell>
          <cell r="N14">
            <v>1.9123657749350302</v>
          </cell>
          <cell r="O14">
            <v>0.67739487501463647</v>
          </cell>
          <cell r="P14">
            <v>1.2026622120929871</v>
          </cell>
          <cell r="Q14">
            <v>-1.144702942944678</v>
          </cell>
          <cell r="R14">
            <v>-1.4245314811643868</v>
          </cell>
        </row>
        <row r="15">
          <cell r="M15">
            <v>0.53618607029568499</v>
          </cell>
          <cell r="N15">
            <v>-0.47809144373375739</v>
          </cell>
          <cell r="O15">
            <v>-0.15777664375190301</v>
          </cell>
          <cell r="P15">
            <v>1.2026622120929871</v>
          </cell>
          <cell r="Q15">
            <v>1.144702942944678</v>
          </cell>
          <cell r="R15">
            <v>0.82472875225306608</v>
          </cell>
        </row>
      </sheetData>
      <sheetData sheetId="4" refreshError="1"/>
      <sheetData sheetId="5">
        <row r="10">
          <cell r="M10">
            <v>-0.94294791672689415</v>
          </cell>
          <cell r="N10">
            <v>1.9123657749350302</v>
          </cell>
          <cell r="O10">
            <v>0.67739487501463647</v>
          </cell>
          <cell r="P10">
            <v>1.2026622120929871</v>
          </cell>
          <cell r="Q10">
            <v>-1.144702942944678</v>
          </cell>
          <cell r="R10">
            <v>-1.4245314811643868</v>
          </cell>
        </row>
        <row r="11">
          <cell r="M11">
            <v>0.53618607029568499</v>
          </cell>
          <cell r="N11">
            <v>-0.17928429140015897</v>
          </cell>
          <cell r="O11">
            <v>-0.58348908955957979</v>
          </cell>
          <cell r="P11">
            <v>-0.64758734497314707</v>
          </cell>
          <cell r="Q11">
            <v>-1.144702942944678</v>
          </cell>
          <cell r="R11">
            <v>7.497534111391517E-2</v>
          </cell>
        </row>
        <row r="12">
          <cell r="M12">
            <v>-0.57316441997124934</v>
          </cell>
          <cell r="N12">
            <v>-0.17928429140015897</v>
          </cell>
          <cell r="O12">
            <v>0.87052318768878079</v>
          </cell>
          <cell r="P12">
            <v>0.27753743355991994</v>
          </cell>
          <cell r="Q12">
            <v>1.144702942944678</v>
          </cell>
          <cell r="R12">
            <v>7.497534111391517E-2</v>
          </cell>
        </row>
        <row r="17">
          <cell r="A17">
            <v>1</v>
          </cell>
          <cell r="B17" t="str">
            <v>Bergstad's Supply</v>
          </cell>
          <cell r="C17">
            <v>2</v>
          </cell>
          <cell r="D17">
            <v>2</v>
          </cell>
          <cell r="E17">
            <v>4</v>
          </cell>
          <cell r="F17">
            <v>1</v>
          </cell>
          <cell r="G17">
            <v>13</v>
          </cell>
          <cell r="H17">
            <v>139049</v>
          </cell>
          <cell r="I17">
            <v>5</v>
          </cell>
          <cell r="J17">
            <v>1</v>
          </cell>
          <cell r="K17">
            <v>2</v>
          </cell>
          <cell r="L17">
            <v>-0.94294791672689415</v>
          </cell>
          <cell r="M17">
            <v>1.9123657749350302</v>
          </cell>
          <cell r="N17">
            <v>0.67739487501463647</v>
          </cell>
          <cell r="O17">
            <v>1.2026622120929871</v>
          </cell>
          <cell r="P17">
            <v>-1.144702942944678</v>
          </cell>
          <cell r="Q17">
            <v>-1.4245314811643868</v>
          </cell>
        </row>
        <row r="18">
          <cell r="A18">
            <v>2</v>
          </cell>
          <cell r="B18" t="str">
            <v>Blum's Goods</v>
          </cell>
          <cell r="C18">
            <v>1</v>
          </cell>
          <cell r="D18">
            <v>4</v>
          </cell>
          <cell r="E18">
            <v>3</v>
          </cell>
          <cell r="F18">
            <v>2</v>
          </cell>
          <cell r="G18">
            <v>5</v>
          </cell>
          <cell r="H18">
            <v>97435</v>
          </cell>
          <cell r="I18">
            <v>5</v>
          </cell>
          <cell r="J18">
            <v>5</v>
          </cell>
          <cell r="K18">
            <v>5</v>
          </cell>
          <cell r="L18">
            <v>-0.57316441997124934</v>
          </cell>
          <cell r="M18">
            <v>-0.47809144373375739</v>
          </cell>
          <cell r="N18">
            <v>-0.29300377309232356</v>
          </cell>
          <cell r="O18">
            <v>1.2026622120929871</v>
          </cell>
          <cell r="P18">
            <v>1.144702942944678</v>
          </cell>
          <cell r="Q18">
            <v>0.82472875225306608</v>
          </cell>
        </row>
        <row r="19">
          <cell r="A19">
            <v>3</v>
          </cell>
          <cell r="B19" t="str">
            <v>Cherry Creek Inc</v>
          </cell>
          <cell r="C19">
            <v>4</v>
          </cell>
          <cell r="D19">
            <v>1</v>
          </cell>
          <cell r="E19">
            <v>3</v>
          </cell>
          <cell r="F19">
            <v>1</v>
          </cell>
          <cell r="G19">
            <v>4</v>
          </cell>
          <cell r="H19">
            <v>157873</v>
          </cell>
          <cell r="I19">
            <v>3</v>
          </cell>
          <cell r="J19">
            <v>5</v>
          </cell>
          <cell r="K19">
            <v>5</v>
          </cell>
          <cell r="L19">
            <v>-0.94294791672689415</v>
          </cell>
          <cell r="M19">
            <v>-0.7768985960673559</v>
          </cell>
          <cell r="N19">
            <v>1.1163525371467415</v>
          </cell>
          <cell r="O19">
            <v>-0.64758734497314707</v>
          </cell>
          <cell r="P19">
            <v>1.144702942944678</v>
          </cell>
          <cell r="Q19">
            <v>0.82472875225306608</v>
          </cell>
        </row>
        <row r="20">
          <cell r="A20">
            <v>4</v>
          </cell>
          <cell r="B20" t="str">
            <v>Consolidated Holdings</v>
          </cell>
          <cell r="C20">
            <v>1</v>
          </cell>
          <cell r="D20">
            <v>3</v>
          </cell>
          <cell r="E20">
            <v>3</v>
          </cell>
          <cell r="F20">
            <v>9</v>
          </cell>
          <cell r="G20">
            <v>2</v>
          </cell>
          <cell r="H20">
            <v>18986</v>
          </cell>
          <cell r="I20">
            <v>4</v>
          </cell>
          <cell r="J20">
            <v>3</v>
          </cell>
          <cell r="K20">
            <v>4</v>
          </cell>
          <cell r="L20">
            <v>2.0153200573182639</v>
          </cell>
          <cell r="M20">
            <v>-1.3745129007345527</v>
          </cell>
          <cell r="N20">
            <v>-2.1223593636470146</v>
          </cell>
          <cell r="O20">
            <v>0.27753743355991994</v>
          </cell>
          <cell r="P20">
            <v>0</v>
          </cell>
          <cell r="Q20">
            <v>7.497534111391517E-2</v>
          </cell>
        </row>
        <row r="21">
          <cell r="A21">
            <v>5</v>
          </cell>
          <cell r="B21" t="str">
            <v>Dollarwise Corp</v>
          </cell>
          <cell r="C21">
            <v>3</v>
          </cell>
          <cell r="D21">
            <v>1</v>
          </cell>
          <cell r="E21">
            <v>4</v>
          </cell>
          <cell r="F21">
            <v>4</v>
          </cell>
          <cell r="G21">
            <v>6</v>
          </cell>
          <cell r="H21">
            <v>98631</v>
          </cell>
          <cell r="I21">
            <v>4</v>
          </cell>
          <cell r="J21">
            <v>5</v>
          </cell>
          <cell r="K21">
            <v>4</v>
          </cell>
          <cell r="L21">
            <v>0.16640257354004021</v>
          </cell>
          <cell r="M21">
            <v>-0.17928429140015897</v>
          </cell>
          <cell r="N21">
            <v>-0.26511419787398544</v>
          </cell>
          <cell r="O21">
            <v>0.27753743355991994</v>
          </cell>
          <cell r="P21">
            <v>1.144702942944678</v>
          </cell>
          <cell r="Q21">
            <v>7.497534111391517E-2</v>
          </cell>
        </row>
        <row r="22">
          <cell r="A22">
            <v>6</v>
          </cell>
          <cell r="B22" t="str">
            <v>Dunn's Holdings</v>
          </cell>
          <cell r="C22">
            <v>2</v>
          </cell>
          <cell r="D22">
            <v>4</v>
          </cell>
          <cell r="E22">
            <v>3</v>
          </cell>
          <cell r="F22">
            <v>2</v>
          </cell>
          <cell r="G22">
            <v>6</v>
          </cell>
          <cell r="H22">
            <v>147331</v>
          </cell>
          <cell r="I22">
            <v>4</v>
          </cell>
          <cell r="J22">
            <v>5</v>
          </cell>
          <cell r="K22">
            <v>4</v>
          </cell>
          <cell r="L22">
            <v>-0.57316441997124934</v>
          </cell>
          <cell r="M22">
            <v>-0.17928429140015897</v>
          </cell>
          <cell r="N22">
            <v>0.87052318768878079</v>
          </cell>
          <cell r="O22">
            <v>0.27753743355991994</v>
          </cell>
          <cell r="P22">
            <v>1.144702942944678</v>
          </cell>
          <cell r="Q22">
            <v>7.497534111391517E-2</v>
          </cell>
        </row>
        <row r="23">
          <cell r="A23">
            <v>7</v>
          </cell>
          <cell r="B23" t="str">
            <v>Empire Trading</v>
          </cell>
          <cell r="C23">
            <v>3</v>
          </cell>
          <cell r="D23">
            <v>1</v>
          </cell>
          <cell r="E23">
            <v>1</v>
          </cell>
          <cell r="F23">
            <v>5</v>
          </cell>
          <cell r="G23">
            <v>6</v>
          </cell>
          <cell r="H23">
            <v>84978</v>
          </cell>
          <cell r="I23">
            <v>3</v>
          </cell>
          <cell r="J23">
            <v>1</v>
          </cell>
          <cell r="K23">
            <v>4</v>
          </cell>
          <cell r="L23">
            <v>0.53618607029568499</v>
          </cell>
          <cell r="M23">
            <v>-0.17928429140015897</v>
          </cell>
          <cell r="N23">
            <v>-0.58348908955957979</v>
          </cell>
          <cell r="O23">
            <v>-0.64758734497314707</v>
          </cell>
          <cell r="P23">
            <v>-1.144702942944678</v>
          </cell>
          <cell r="Q23">
            <v>7.497534111391517E-2</v>
          </cell>
        </row>
        <row r="24">
          <cell r="A24">
            <v>8</v>
          </cell>
          <cell r="B24" t="str">
            <v>Fraser Distributors</v>
          </cell>
          <cell r="C24">
            <v>2</v>
          </cell>
          <cell r="D24">
            <v>1</v>
          </cell>
          <cell r="E24">
            <v>1</v>
          </cell>
          <cell r="F24">
            <v>2</v>
          </cell>
          <cell r="G24">
            <v>13</v>
          </cell>
          <cell r="H24">
            <v>149871</v>
          </cell>
          <cell r="I24">
            <v>5</v>
          </cell>
          <cell r="J24">
            <v>2</v>
          </cell>
          <cell r="K24">
            <v>2</v>
          </cell>
          <cell r="L24">
            <v>-0.57316441997124934</v>
          </cell>
          <cell r="M24">
            <v>1.9123657749350302</v>
          </cell>
          <cell r="N24">
            <v>0.92975355646351243</v>
          </cell>
          <cell r="O24">
            <v>1.2026622120929871</v>
          </cell>
          <cell r="P24">
            <v>-0.572351471472339</v>
          </cell>
          <cell r="Q24">
            <v>-1.4245314811643868</v>
          </cell>
        </row>
        <row r="25">
          <cell r="A25">
            <v>9</v>
          </cell>
          <cell r="B25" t="str">
            <v>Gorham Street Corp</v>
          </cell>
          <cell r="C25">
            <v>3</v>
          </cell>
          <cell r="D25">
            <v>4</v>
          </cell>
          <cell r="E25">
            <v>4</v>
          </cell>
          <cell r="F25">
            <v>4</v>
          </cell>
          <cell r="G25">
            <v>6</v>
          </cell>
          <cell r="H25">
            <v>82597</v>
          </cell>
          <cell r="I25">
            <v>3</v>
          </cell>
          <cell r="J25">
            <v>1</v>
          </cell>
          <cell r="K25">
            <v>5</v>
          </cell>
          <cell r="L25">
            <v>0.16640257354004021</v>
          </cell>
          <cell r="M25">
            <v>-0.17928429140015897</v>
          </cell>
          <cell r="N25">
            <v>-0.63901173052518445</v>
          </cell>
          <cell r="O25">
            <v>-0.64758734497314707</v>
          </cell>
          <cell r="P25">
            <v>-1.144702942944678</v>
          </cell>
          <cell r="Q25">
            <v>0.82472875225306608</v>
          </cell>
        </row>
        <row r="26">
          <cell r="A26">
            <v>10</v>
          </cell>
          <cell r="B26" t="str">
            <v>Hanover Supply</v>
          </cell>
          <cell r="C26">
            <v>4</v>
          </cell>
          <cell r="D26">
            <v>1</v>
          </cell>
          <cell r="E26">
            <v>1</v>
          </cell>
          <cell r="F26">
            <v>1</v>
          </cell>
          <cell r="G26">
            <v>5</v>
          </cell>
          <cell r="H26">
            <v>170186</v>
          </cell>
          <cell r="I26">
            <v>4</v>
          </cell>
          <cell r="J26">
            <v>4</v>
          </cell>
          <cell r="K26">
            <v>5</v>
          </cell>
          <cell r="L26">
            <v>-0.94294791672689415</v>
          </cell>
          <cell r="M26">
            <v>-0.47809144373375739</v>
          </cell>
          <cell r="N26">
            <v>1.4034799114472412</v>
          </cell>
          <cell r="O26">
            <v>0.27753743355991994</v>
          </cell>
          <cell r="P26">
            <v>0.572351471472339</v>
          </cell>
          <cell r="Q26">
            <v>0.82472875225306608</v>
          </cell>
        </row>
        <row r="27">
          <cell r="A27">
            <v>11</v>
          </cell>
          <cell r="B27" t="str">
            <v>Highbridge Marketing</v>
          </cell>
          <cell r="C27">
            <v>1</v>
          </cell>
          <cell r="D27">
            <v>3</v>
          </cell>
          <cell r="E27">
            <v>2</v>
          </cell>
          <cell r="F27">
            <v>5</v>
          </cell>
          <cell r="G27">
            <v>5</v>
          </cell>
          <cell r="H27">
            <v>103234</v>
          </cell>
          <cell r="I27">
            <v>5</v>
          </cell>
          <cell r="J27">
            <v>5</v>
          </cell>
          <cell r="K27">
            <v>5</v>
          </cell>
          <cell r="L27">
            <v>0.53618607029568499</v>
          </cell>
          <cell r="M27">
            <v>-0.47809144373375739</v>
          </cell>
          <cell r="N27">
            <v>-0.15777664375190301</v>
          </cell>
          <cell r="O27">
            <v>1.2026622120929871</v>
          </cell>
          <cell r="P27">
            <v>1.144702942944678</v>
          </cell>
          <cell r="Q27">
            <v>0.82472875225306608</v>
          </cell>
        </row>
        <row r="28">
          <cell r="A28">
            <v>12</v>
          </cell>
          <cell r="B28" t="str">
            <v>Island Trading</v>
          </cell>
          <cell r="C28">
            <v>3</v>
          </cell>
          <cell r="D28">
            <v>2</v>
          </cell>
          <cell r="E28">
            <v>2</v>
          </cell>
          <cell r="F28">
            <v>4</v>
          </cell>
          <cell r="G28">
            <v>8</v>
          </cell>
          <cell r="H28">
            <v>87235</v>
          </cell>
          <cell r="I28">
            <v>2</v>
          </cell>
          <cell r="J28">
            <v>1</v>
          </cell>
          <cell r="K28">
            <v>5</v>
          </cell>
          <cell r="L28">
            <v>0.16640257354004021</v>
          </cell>
          <cell r="M28">
            <v>0.41833001326703795</v>
          </cell>
          <cell r="N28">
            <v>-0.5308580099042377</v>
          </cell>
          <cell r="O28">
            <v>-1.5727121235062143</v>
          </cell>
          <cell r="P28">
            <v>-1.144702942944678</v>
          </cell>
          <cell r="Q28">
            <v>0.82472875225306608</v>
          </cell>
        </row>
        <row r="29">
          <cell r="A29">
            <v>13</v>
          </cell>
          <cell r="B29" t="str">
            <v>Kingsgate Goods</v>
          </cell>
          <cell r="C29">
            <v>2</v>
          </cell>
          <cell r="D29">
            <v>3</v>
          </cell>
          <cell r="E29">
            <v>2</v>
          </cell>
          <cell r="F29">
            <v>4</v>
          </cell>
          <cell r="G29">
            <v>7</v>
          </cell>
          <cell r="H29">
            <v>81459</v>
          </cell>
          <cell r="I29">
            <v>2</v>
          </cell>
          <cell r="J29">
            <v>1</v>
          </cell>
          <cell r="K29">
            <v>4</v>
          </cell>
          <cell r="L29">
            <v>0.16640257354004021</v>
          </cell>
          <cell r="M29">
            <v>0.11952286093343949</v>
          </cell>
          <cell r="N29">
            <v>-0.66554880125969018</v>
          </cell>
          <cell r="O29">
            <v>-1.5727121235062143</v>
          </cell>
          <cell r="P29">
            <v>-1.144702942944678</v>
          </cell>
          <cell r="Q29">
            <v>7.497534111391517E-2</v>
          </cell>
        </row>
        <row r="30">
          <cell r="A30">
            <v>14</v>
          </cell>
          <cell r="B30" t="str">
            <v>Lillegard Drugs</v>
          </cell>
          <cell r="C30">
            <v>4</v>
          </cell>
          <cell r="D30">
            <v>1</v>
          </cell>
          <cell r="E30">
            <v>1</v>
          </cell>
          <cell r="F30">
            <v>2</v>
          </cell>
          <cell r="G30">
            <v>11</v>
          </cell>
          <cell r="H30">
            <v>126386</v>
          </cell>
          <cell r="I30">
            <v>4</v>
          </cell>
          <cell r="J30">
            <v>2</v>
          </cell>
          <cell r="K30">
            <v>1</v>
          </cell>
          <cell r="L30">
            <v>-0.57316441997124934</v>
          </cell>
          <cell r="M30">
            <v>1.3147514702678333</v>
          </cell>
          <cell r="N30">
            <v>0.38210583572549256</v>
          </cell>
          <cell r="O30">
            <v>0.27753743355991994</v>
          </cell>
          <cell r="P30">
            <v>-0.572351471472339</v>
          </cell>
          <cell r="Q30">
            <v>-2.1742848923035378</v>
          </cell>
        </row>
        <row r="31">
          <cell r="A31">
            <v>15</v>
          </cell>
          <cell r="B31" t="str">
            <v>Margot Marketing Inc.</v>
          </cell>
          <cell r="C31">
            <v>1</v>
          </cell>
          <cell r="D31">
            <v>4</v>
          </cell>
          <cell r="E31">
            <v>4</v>
          </cell>
          <cell r="F31">
            <v>5</v>
          </cell>
          <cell r="G31">
            <v>8</v>
          </cell>
          <cell r="H31">
            <v>75489</v>
          </cell>
          <cell r="I31">
            <v>2</v>
          </cell>
          <cell r="J31">
            <v>2</v>
          </cell>
          <cell r="K31">
            <v>4</v>
          </cell>
          <cell r="L31">
            <v>0.53618607029568499</v>
          </cell>
          <cell r="M31">
            <v>0.41833001326703795</v>
          </cell>
          <cell r="N31">
            <v>-0.80476348692313404</v>
          </cell>
          <cell r="O31">
            <v>-1.5727121235062143</v>
          </cell>
          <cell r="P31">
            <v>-0.572351471472339</v>
          </cell>
          <cell r="Q31">
            <v>7.497534111391517E-2</v>
          </cell>
        </row>
        <row r="32">
          <cell r="A32">
            <v>16</v>
          </cell>
          <cell r="B32" t="str">
            <v>Oceanview LLC</v>
          </cell>
          <cell r="C32">
            <v>4</v>
          </cell>
          <cell r="D32">
            <v>2</v>
          </cell>
          <cell r="E32">
            <v>2</v>
          </cell>
          <cell r="F32">
            <v>1</v>
          </cell>
          <cell r="G32">
            <v>6</v>
          </cell>
          <cell r="H32">
            <v>148493</v>
          </cell>
          <cell r="I32">
            <v>2</v>
          </cell>
          <cell r="J32">
            <v>5</v>
          </cell>
          <cell r="K32">
            <v>4</v>
          </cell>
          <cell r="L32">
            <v>-0.94294791672689415</v>
          </cell>
          <cell r="M32">
            <v>-0.17928429140015897</v>
          </cell>
          <cell r="N32">
            <v>0.89761991545107933</v>
          </cell>
          <cell r="O32">
            <v>-1.5727121235062143</v>
          </cell>
          <cell r="P32">
            <v>1.144702942944678</v>
          </cell>
          <cell r="Q32">
            <v>7.497534111391517E-2</v>
          </cell>
        </row>
        <row r="33">
          <cell r="A33">
            <v>17</v>
          </cell>
          <cell r="B33" t="str">
            <v>Piccadilly</v>
          </cell>
          <cell r="C33">
            <v>3</v>
          </cell>
          <cell r="D33">
            <v>3</v>
          </cell>
          <cell r="E33">
            <v>2</v>
          </cell>
          <cell r="F33">
            <v>5</v>
          </cell>
          <cell r="G33">
            <v>3</v>
          </cell>
          <cell r="H33">
            <v>99566</v>
          </cell>
          <cell r="I33">
            <v>5</v>
          </cell>
          <cell r="J33">
            <v>4</v>
          </cell>
          <cell r="K33">
            <v>5</v>
          </cell>
          <cell r="L33">
            <v>0.53618607029568499</v>
          </cell>
          <cell r="M33">
            <v>-1.0757057484009542</v>
          </cell>
          <cell r="N33">
            <v>-0.24331089283289328</v>
          </cell>
          <cell r="O33">
            <v>1.2026622120929871</v>
          </cell>
          <cell r="P33">
            <v>0.572351471472339</v>
          </cell>
          <cell r="Q33">
            <v>0.82472875225306608</v>
          </cell>
        </row>
        <row r="34">
          <cell r="A34">
            <v>18</v>
          </cell>
          <cell r="B34" t="str">
            <v>Quality Plus Drug Supply</v>
          </cell>
          <cell r="C34">
            <v>1</v>
          </cell>
          <cell r="D34">
            <v>4</v>
          </cell>
          <cell r="E34">
            <v>3</v>
          </cell>
          <cell r="F34">
            <v>2</v>
          </cell>
          <cell r="G34">
            <v>12</v>
          </cell>
          <cell r="H34">
            <v>146167</v>
          </cell>
          <cell r="I34">
            <v>4</v>
          </cell>
          <cell r="J34">
            <v>1</v>
          </cell>
          <cell r="K34">
            <v>1</v>
          </cell>
          <cell r="L34">
            <v>-0.57316441997124934</v>
          </cell>
          <cell r="M34">
            <v>1.6135586226014318</v>
          </cell>
          <cell r="N34">
            <v>0.84337982184083304</v>
          </cell>
          <cell r="O34">
            <v>0.27753743355991994</v>
          </cell>
          <cell r="P34">
            <v>-1.144702942944678</v>
          </cell>
          <cell r="Q34">
            <v>-2.1742848923035378</v>
          </cell>
        </row>
        <row r="35">
          <cell r="A35">
            <v>19</v>
          </cell>
          <cell r="B35" t="str">
            <v>Queen's Express Distribution</v>
          </cell>
          <cell r="C35">
            <v>3</v>
          </cell>
          <cell r="D35">
            <v>1</v>
          </cell>
          <cell r="E35">
            <v>1</v>
          </cell>
          <cell r="F35">
            <v>11</v>
          </cell>
          <cell r="G35">
            <v>2</v>
          </cell>
          <cell r="H35">
            <v>25795</v>
          </cell>
          <cell r="I35">
            <v>4</v>
          </cell>
          <cell r="J35">
            <v>2</v>
          </cell>
          <cell r="K35">
            <v>4</v>
          </cell>
          <cell r="L35">
            <v>2.7548870508295535</v>
          </cell>
          <cell r="M35">
            <v>-1.3745129007345527</v>
          </cell>
          <cell r="N35">
            <v>-1.9635800010536495</v>
          </cell>
          <cell r="O35">
            <v>0.27753743355991994</v>
          </cell>
          <cell r="P35">
            <v>-0.572351471472339</v>
          </cell>
          <cell r="Q35">
            <v>7.497534111391517E-2</v>
          </cell>
        </row>
        <row r="36">
          <cell r="A36">
            <v>20</v>
          </cell>
          <cell r="B36" t="str">
            <v>Valley Store Supply</v>
          </cell>
          <cell r="C36">
            <v>2</v>
          </cell>
          <cell r="D36">
            <v>3</v>
          </cell>
          <cell r="E36">
            <v>4</v>
          </cell>
          <cell r="F36">
            <v>1</v>
          </cell>
          <cell r="G36">
            <v>4</v>
          </cell>
          <cell r="H36">
            <v>159239</v>
          </cell>
          <cell r="I36">
            <v>4</v>
          </cell>
          <cell r="J36">
            <v>5</v>
          </cell>
          <cell r="K36">
            <v>5</v>
          </cell>
          <cell r="L36">
            <v>-0.94294791672689415</v>
          </cell>
          <cell r="M36">
            <v>-0.7768985960673559</v>
          </cell>
          <cell r="N36">
            <v>1.1482063496452781</v>
          </cell>
          <cell r="O36">
            <v>0.27753743355991994</v>
          </cell>
          <cell r="P36">
            <v>1.144702942944678</v>
          </cell>
          <cell r="Q36">
            <v>0.82472875225306608</v>
          </cell>
        </row>
        <row r="37">
          <cell r="A37">
            <v>21</v>
          </cell>
          <cell r="B37" t="str">
            <v>RP Technologies</v>
          </cell>
          <cell r="F37">
            <v>1</v>
          </cell>
          <cell r="G37">
            <v>5</v>
          </cell>
          <cell r="H37">
            <v>174503</v>
          </cell>
          <cell r="I37">
            <v>3</v>
          </cell>
          <cell r="J37">
            <v>5</v>
          </cell>
          <cell r="K37">
            <v>5</v>
          </cell>
          <cell r="L37">
            <v>-0.94294791672689415</v>
          </cell>
          <cell r="M37">
            <v>-0.47809144373375739</v>
          </cell>
          <cell r="N37">
            <v>1.5041482193214601</v>
          </cell>
          <cell r="O37">
            <v>-0.64758734497314707</v>
          </cell>
          <cell r="P37">
            <v>1.144702942944678</v>
          </cell>
          <cell r="Q37">
            <v>0.82472875225306608</v>
          </cell>
        </row>
        <row r="38">
          <cell r="A38">
            <v>22</v>
          </cell>
          <cell r="B38" t="str">
            <v>Fox Sports Facilities</v>
          </cell>
          <cell r="F38">
            <v>2</v>
          </cell>
          <cell r="G38">
            <v>10</v>
          </cell>
          <cell r="H38">
            <v>133278</v>
          </cell>
          <cell r="I38">
            <v>5</v>
          </cell>
          <cell r="J38">
            <v>1</v>
          </cell>
          <cell r="K38">
            <v>2</v>
          </cell>
          <cell r="L38">
            <v>-0.57316441997124934</v>
          </cell>
          <cell r="M38">
            <v>1.0159443179342349</v>
          </cell>
          <cell r="N38">
            <v>0.54282067887330743</v>
          </cell>
          <cell r="O38">
            <v>1.2026622120929871</v>
          </cell>
          <cell r="P38">
            <v>-1.144702942944678</v>
          </cell>
          <cell r="Q38">
            <v>-1.4245314811643868</v>
          </cell>
        </row>
        <row r="39">
          <cell r="A39">
            <v>23</v>
          </cell>
          <cell r="B39" t="str">
            <v>Tanny Salon</v>
          </cell>
          <cell r="F39">
            <v>13</v>
          </cell>
          <cell r="G39">
            <v>2</v>
          </cell>
          <cell r="H39">
            <v>15190</v>
          </cell>
          <cell r="I39">
            <v>3</v>
          </cell>
          <cell r="J39">
            <v>4</v>
          </cell>
          <cell r="K39">
            <v>4</v>
          </cell>
          <cell r="L39">
            <v>3.4944540443408427</v>
          </cell>
          <cell r="M39">
            <v>-1.3745129007345527</v>
          </cell>
          <cell r="N39">
            <v>-2.2108784502095662</v>
          </cell>
          <cell r="O39">
            <v>-0.64758734497314707</v>
          </cell>
          <cell r="P39">
            <v>0.572351471472339</v>
          </cell>
          <cell r="Q39">
            <v>7.497534111391517E-2</v>
          </cell>
        </row>
        <row r="40">
          <cell r="A40">
            <v>24</v>
          </cell>
          <cell r="B40" t="str">
            <v>Harper Hotels</v>
          </cell>
          <cell r="F40">
            <v>5</v>
          </cell>
          <cell r="G40">
            <v>6</v>
          </cell>
          <cell r="H40">
            <v>92546</v>
          </cell>
          <cell r="I40">
            <v>4</v>
          </cell>
          <cell r="J40">
            <v>2</v>
          </cell>
          <cell r="K40">
            <v>4</v>
          </cell>
          <cell r="L40">
            <v>0.53618607029568499</v>
          </cell>
          <cell r="M40">
            <v>-0.17928429140015897</v>
          </cell>
          <cell r="N40">
            <v>-0.40701057346226943</v>
          </cell>
          <cell r="O40">
            <v>0.27753743355991994</v>
          </cell>
          <cell r="P40">
            <v>-0.572351471472339</v>
          </cell>
          <cell r="Q40">
            <v>7.497534111391517E-2</v>
          </cell>
        </row>
        <row r="41">
          <cell r="A41">
            <v>25</v>
          </cell>
          <cell r="B41" t="str">
            <v>Grace Ministries</v>
          </cell>
          <cell r="F41">
            <v>12</v>
          </cell>
          <cell r="G41">
            <v>1</v>
          </cell>
          <cell r="H41">
            <v>16735</v>
          </cell>
          <cell r="I41">
            <v>3</v>
          </cell>
          <cell r="J41">
            <v>3</v>
          </cell>
          <cell r="K41">
            <v>4</v>
          </cell>
          <cell r="L41">
            <v>3.1246705475851981</v>
          </cell>
          <cell r="M41">
            <v>-1.6733200530681511</v>
          </cell>
          <cell r="N41">
            <v>-2.1748505290454085</v>
          </cell>
          <cell r="O41">
            <v>-0.64758734497314707</v>
          </cell>
          <cell r="P41">
            <v>0</v>
          </cell>
          <cell r="Q41">
            <v>7.497534111391517E-2</v>
          </cell>
        </row>
      </sheetData>
      <sheetData sheetId="6" refreshError="1"/>
      <sheetData sheetId="7" refreshError="1"/>
      <sheetData sheetId="8">
        <row r="29">
          <cell r="K29">
            <v>-0.94294791672689415</v>
          </cell>
          <cell r="L29">
            <v>-0.47809144373375739</v>
          </cell>
          <cell r="M29">
            <v>1.5041482193214601</v>
          </cell>
          <cell r="N29">
            <v>-0.64758734497314707</v>
          </cell>
          <cell r="O29">
            <v>1.144702942944678</v>
          </cell>
          <cell r="P29">
            <v>0.82472875225306608</v>
          </cell>
        </row>
        <row r="30">
          <cell r="K30">
            <v>-0.57316441997124934</v>
          </cell>
          <cell r="L30">
            <v>1.0159443179342349</v>
          </cell>
          <cell r="M30">
            <v>0.54282067887330743</v>
          </cell>
          <cell r="N30">
            <v>1.2026622120929871</v>
          </cell>
          <cell r="O30">
            <v>-1.144702942944678</v>
          </cell>
          <cell r="P30">
            <v>-1.4245314811643868</v>
          </cell>
        </row>
        <row r="31">
          <cell r="K31">
            <v>3.4944540443408427</v>
          </cell>
          <cell r="L31">
            <v>-1.3745129007345527</v>
          </cell>
          <cell r="M31">
            <v>-2.2108784502095662</v>
          </cell>
          <cell r="N31">
            <v>-0.64758734497314707</v>
          </cell>
          <cell r="O31">
            <v>0.572351471472339</v>
          </cell>
          <cell r="P31">
            <v>7.497534111391517E-2</v>
          </cell>
        </row>
        <row r="32">
          <cell r="K32">
            <v>0.53618607029568499</v>
          </cell>
          <cell r="L32">
            <v>-0.17928429140015897</v>
          </cell>
          <cell r="M32">
            <v>-0.40701057346226943</v>
          </cell>
          <cell r="N32">
            <v>0.27753743355991994</v>
          </cell>
          <cell r="O32">
            <v>-0.572351471472339</v>
          </cell>
          <cell r="P32">
            <v>7.497534111391517E-2</v>
          </cell>
        </row>
        <row r="33">
          <cell r="K33">
            <v>3.1246705475851981</v>
          </cell>
          <cell r="L33">
            <v>-1.6733200530681511</v>
          </cell>
          <cell r="M33">
            <v>-2.1748505290454085</v>
          </cell>
          <cell r="N33">
            <v>-0.64758734497314707</v>
          </cell>
          <cell r="O33">
            <v>0</v>
          </cell>
          <cell r="P33">
            <v>7.497534111391517E-2</v>
          </cell>
        </row>
        <row r="113">
          <cell r="C113">
            <v>0.3022280279343913</v>
          </cell>
          <cell r="D113">
            <v>1.8975363499578184</v>
          </cell>
        </row>
        <row r="114">
          <cell r="C114">
            <v>3.546906317017458</v>
          </cell>
          <cell r="D114">
            <v>0.40229610250220338</v>
          </cell>
        </row>
        <row r="115">
          <cell r="C115">
            <v>-2.4728612636934382</v>
          </cell>
          <cell r="D115">
            <v>-2.932537684933811</v>
          </cell>
        </row>
        <row r="116">
          <cell r="C116">
            <v>1.0875269955307765</v>
          </cell>
          <cell r="D116">
            <v>-0.38320631106150227</v>
          </cell>
        </row>
        <row r="117">
          <cell r="C117">
            <v>-1.488968797064248</v>
          </cell>
          <cell r="D117">
            <v>-3.4085979864387386</v>
          </cell>
        </row>
      </sheetData>
      <sheetData sheetId="9" refreshError="1"/>
      <sheetData sheetId="10" refreshError="1"/>
      <sheetData sheetId="11">
        <row r="9">
          <cell r="R9" t="str">
            <v>Profit</v>
          </cell>
        </row>
      </sheetData>
      <sheetData sheetId="12">
        <row r="8">
          <cell r="D8" t="str">
            <v>Chocolate</v>
          </cell>
        </row>
      </sheetData>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Additive-3)"/>
      <sheetName val="Seasonality (Additive-4)"/>
      <sheetName val="Seasonality (Additive-5)"/>
      <sheetName val="Seasonality (Additive-8)"/>
      <sheetName val="Seasonality (Multiplicative-3)"/>
      <sheetName val="Seasonality (Multiplicative-4)"/>
      <sheetName val="Seasonality (Multiplicative-5)"/>
      <sheetName val="Seasonality (Multiplicative-8)"/>
      <sheetName val="Table of Seasonality Comparison"/>
      <sheetName val="Conjoint Analysis"/>
      <sheetName val="Cluster Analysis"/>
      <sheetName val="Cluster-3 (Answer)"/>
      <sheetName val="Cluster-4 (Answer)"/>
      <sheetName val="MDS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5">
          <cell r="N15">
            <v>2.29358436631294</v>
          </cell>
          <cell r="O15">
            <v>-1.7728701954064196E-4</v>
          </cell>
          <cell r="P15">
            <v>9674.2823320443968</v>
          </cell>
          <cell r="Q15">
            <v>0.82034890388731851</v>
          </cell>
          <cell r="R15">
            <v>-0.63680903018427282</v>
          </cell>
          <cell r="S15">
            <v>1.2306579062591712</v>
          </cell>
          <cell r="T15">
            <v>-0.50437783626809851</v>
          </cell>
        </row>
        <row r="16">
          <cell r="N16">
            <v>3.6836354974118799</v>
          </cell>
          <cell r="O16">
            <v>1.7178500858938065E-3</v>
          </cell>
          <cell r="P16">
            <v>9620.0539258365861</v>
          </cell>
          <cell r="Q16">
            <v>1.1536681594613238</v>
          </cell>
          <cell r="R16">
            <v>0.4151352202535265</v>
          </cell>
          <cell r="S16">
            <v>-9.4070554990337632E-2</v>
          </cell>
          <cell r="T16">
            <v>-0.13462018928255451</v>
          </cell>
        </row>
        <row r="17">
          <cell r="N17">
            <v>-5.939795410196167</v>
          </cell>
          <cell r="O17">
            <v>-4.8295429461071425E-4</v>
          </cell>
          <cell r="P17">
            <v>9643.57468033636</v>
          </cell>
          <cell r="Q17">
            <v>-0.78088415326439364</v>
          </cell>
          <cell r="R17">
            <v>-0.88368599297542105</v>
          </cell>
          <cell r="S17">
            <v>0.88733238384765989</v>
          </cell>
          <cell r="T17">
            <v>-0.51205195324496744</v>
          </cell>
        </row>
        <row r="18">
          <cell r="N18">
            <v>3.576708487327346</v>
          </cell>
          <cell r="O18">
            <v>-1.161535645266275E-4</v>
          </cell>
          <cell r="P18">
            <v>9665.7887262528129</v>
          </cell>
          <cell r="Q18">
            <v>-0.94586690090604553</v>
          </cell>
          <cell r="R18">
            <v>1.2487419187692224</v>
          </cell>
          <cell r="S18">
            <v>-1.0443156622900949</v>
          </cell>
          <cell r="T18">
            <v>-1.2855374495943912</v>
          </cell>
        </row>
        <row r="19">
          <cell r="N19">
            <v>0.15504416462226289</v>
          </cell>
          <cell r="O19">
            <v>-3.6068738458268536E-4</v>
          </cell>
          <cell r="P19">
            <v>9667.7487891277942</v>
          </cell>
          <cell r="Q19">
            <v>-0.93995158295228554</v>
          </cell>
          <cell r="R19">
            <v>-1.1917629074002443</v>
          </cell>
          <cell r="S19">
            <v>-1.0249843606316351</v>
          </cell>
          <cell r="T19">
            <v>1.4597498540643148</v>
          </cell>
        </row>
        <row r="20">
          <cell r="N20">
            <v>2.6143653965665412</v>
          </cell>
          <cell r="O20">
            <v>6.7858135065556051E-4</v>
          </cell>
          <cell r="P20">
            <v>9661.8686005028503</v>
          </cell>
          <cell r="Q20">
            <v>-0.64323861399921567</v>
          </cell>
          <cell r="R20">
            <v>-0.25607146643058193</v>
          </cell>
          <cell r="S20">
            <v>-1.7742522096617819</v>
          </cell>
          <cell r="T20">
            <v>-0.73361264103465473</v>
          </cell>
        </row>
        <row r="21">
          <cell r="N21">
            <v>-2.0904230471529481</v>
          </cell>
          <cell r="O21">
            <v>-6.052212046387432E-4</v>
          </cell>
          <cell r="P21">
            <v>-12819.399221239131</v>
          </cell>
          <cell r="Q21">
            <v>-0.88200756606566633</v>
          </cell>
          <cell r="R21">
            <v>0.5053344418940614</v>
          </cell>
          <cell r="S21">
            <v>0.53570357180426498</v>
          </cell>
          <cell r="T21">
            <v>4.0895612126933538E-2</v>
          </cell>
        </row>
        <row r="22">
          <cell r="N22">
            <v>1.8658763259748046</v>
          </cell>
          <cell r="O22">
            <v>-3.6068738458268536E-4</v>
          </cell>
          <cell r="P22">
            <v>-13694.893972064039</v>
          </cell>
          <cell r="Q22">
            <v>-0.8697838875532421</v>
          </cell>
          <cell r="R22">
            <v>-1.1188340240704311</v>
          </cell>
          <cell r="S22">
            <v>-0.24256130182478042</v>
          </cell>
          <cell r="T22">
            <v>-1.3687982950299704</v>
          </cell>
        </row>
        <row r="23">
          <cell r="N23">
            <v>0.90353323521399986</v>
          </cell>
          <cell r="O23">
            <v>4.3404753059950266E-4</v>
          </cell>
          <cell r="P23">
            <v>9682.7759378359824</v>
          </cell>
          <cell r="Q23">
            <v>-0.38436183581677219</v>
          </cell>
          <cell r="R23">
            <v>-0.85826202498212556</v>
          </cell>
          <cell r="S23">
            <v>0.3627776039671462</v>
          </cell>
          <cell r="T23">
            <v>4.990156929947049E-2</v>
          </cell>
        </row>
        <row r="24">
          <cell r="N24">
            <v>-4.1220362387590912</v>
          </cell>
          <cell r="O24">
            <v>-3.6068738458268536E-4</v>
          </cell>
          <cell r="P24">
            <v>-13623.678354273059</v>
          </cell>
          <cell r="Q24">
            <v>0.6081727872856264</v>
          </cell>
          <cell r="R24">
            <v>1.2280109661275653</v>
          </cell>
          <cell r="S24">
            <v>-3.5039385353758501E-2</v>
          </cell>
          <cell r="T24">
            <v>0.48785178782340444</v>
          </cell>
        </row>
        <row r="25">
          <cell r="N25">
            <v>4.3251975579190827</v>
          </cell>
          <cell r="O25">
            <v>-5.502010951261304E-5</v>
          </cell>
          <cell r="P25">
            <v>-5601.1410069752646</v>
          </cell>
          <cell r="Q25">
            <v>0.62182716406009564</v>
          </cell>
          <cell r="R25">
            <v>-1.0212979821442831</v>
          </cell>
          <cell r="S25">
            <v>5.8995789907000601E-3</v>
          </cell>
          <cell r="T25">
            <v>-1.2113986690827268</v>
          </cell>
        </row>
        <row r="26">
          <cell r="N26">
            <v>1.2243142654676014</v>
          </cell>
          <cell r="O26">
            <v>-1.7728701954064196E-4</v>
          </cell>
          <cell r="P26">
            <v>-8334.7753632822896</v>
          </cell>
          <cell r="Q26">
            <v>0.69324230684414168</v>
          </cell>
          <cell r="R26">
            <v>0.22380634025315585</v>
          </cell>
          <cell r="S26">
            <v>-1.4763121175991276</v>
          </cell>
          <cell r="T26">
            <v>1.5023422252803607</v>
          </cell>
        </row>
        <row r="27">
          <cell r="N27">
            <v>1.9728033360593382</v>
          </cell>
          <cell r="O27">
            <v>-1.161535645266275E-4</v>
          </cell>
          <cell r="P27">
            <v>4937.4637175066491</v>
          </cell>
          <cell r="Q27">
            <v>0.55236703283279542</v>
          </cell>
          <cell r="R27">
            <v>1.4871743234375834</v>
          </cell>
          <cell r="S27">
            <v>0.86291071254145557</v>
          </cell>
          <cell r="T27">
            <v>-0.65945514810141825</v>
          </cell>
        </row>
        <row r="28">
          <cell r="N28">
            <v>-12.355416015268197</v>
          </cell>
          <cell r="O28">
            <v>-6.052212046387432E-4</v>
          </cell>
          <cell r="P28">
            <v>-12830.506244197359</v>
          </cell>
          <cell r="Q28">
            <v>-0.98250449095587344</v>
          </cell>
          <cell r="R28">
            <v>1.1448010300086129</v>
          </cell>
          <cell r="S28">
            <v>1.246487492600387</v>
          </cell>
          <cell r="T28">
            <v>-0.15736981957521265</v>
          </cell>
        </row>
        <row r="29">
          <cell r="N29">
            <v>4.4321245680036165</v>
          </cell>
          <cell r="O29">
            <v>7.3971480566957493E-4</v>
          </cell>
          <cell r="P29">
            <v>9683.4292921276428</v>
          </cell>
          <cell r="Q29">
            <v>-0.53905432679083931</v>
          </cell>
          <cell r="R29">
            <v>-1.0237142165683575</v>
          </cell>
          <cell r="S29">
            <v>0.32411362340160554</v>
          </cell>
          <cell r="T29">
            <v>-0.89180722991952854</v>
          </cell>
        </row>
        <row r="30">
          <cell r="N30">
            <v>-6.6882844807879032</v>
          </cell>
          <cell r="O30">
            <v>-2.9955392956867088E-4</v>
          </cell>
          <cell r="P30">
            <v>-11592.39986150094</v>
          </cell>
          <cell r="Q30">
            <v>0.55248708573643379</v>
          </cell>
          <cell r="R30">
            <v>-1.363430775380559</v>
          </cell>
          <cell r="S30">
            <v>-1.4099030546077207</v>
          </cell>
          <cell r="T30">
            <v>1.479156682607474</v>
          </cell>
        </row>
        <row r="31">
          <cell r="N31">
            <v>-0.59344490596947408</v>
          </cell>
          <cell r="O31">
            <v>6.7246800515415891E-5</v>
          </cell>
          <cell r="P31">
            <v>-9484.6789166045583</v>
          </cell>
          <cell r="Q31">
            <v>0.60769584215783279</v>
          </cell>
          <cell r="R31">
            <v>1.4416106797180555</v>
          </cell>
          <cell r="S31">
            <v>-1.5837391689187994</v>
          </cell>
          <cell r="T31">
            <v>-0.3408724047254808</v>
          </cell>
        </row>
        <row r="32">
          <cell r="N32">
            <v>3.4697814772428122</v>
          </cell>
          <cell r="O32">
            <v>4.3404753059950266E-4</v>
          </cell>
          <cell r="P32">
            <v>9655.335057586246</v>
          </cell>
          <cell r="Q32">
            <v>0.79587838439378422</v>
          </cell>
          <cell r="R32">
            <v>1.0761766197339699</v>
          </cell>
          <cell r="S32">
            <v>0.79120369595523987</v>
          </cell>
          <cell r="T32">
            <v>-0.27535868961631327</v>
          </cell>
        </row>
        <row r="33">
          <cell r="N33">
            <v>-2.0904230471529481</v>
          </cell>
          <cell r="O33">
            <v>-5.4408774962472878E-4</v>
          </cell>
          <cell r="P33">
            <v>-13589.703931106718</v>
          </cell>
          <cell r="Q33">
            <v>0.10107234852918894</v>
          </cell>
          <cell r="R33">
            <v>-0.64333973762763474</v>
          </cell>
          <cell r="S33">
            <v>1.2025977673999808</v>
          </cell>
          <cell r="T33">
            <v>1.5479568103611097</v>
          </cell>
        </row>
        <row r="34">
          <cell r="N34">
            <v>3.3628544671582783</v>
          </cell>
          <cell r="O34">
            <v>1.8951371054344481E-4</v>
          </cell>
          <cell r="P34">
            <v>9678.8558120860198</v>
          </cell>
          <cell r="Q34">
            <v>0.46089334311580077</v>
          </cell>
          <cell r="R34">
            <v>0.22641661756815401</v>
          </cell>
          <cell r="S34">
            <v>1.2354934791104086</v>
          </cell>
          <cell r="T34">
            <v>1.5074057839122523</v>
          </cell>
        </row>
        <row r="39">
          <cell r="F39">
            <v>10000000000</v>
          </cell>
          <cell r="G39">
            <v>2945.7616002236423</v>
          </cell>
          <cell r="H39">
            <v>1013.4912429042395</v>
          </cell>
          <cell r="I39">
            <v>86.248282585783855</v>
          </cell>
          <cell r="J39">
            <v>59.612888500889582</v>
          </cell>
          <cell r="K39">
            <v>165.57271490291296</v>
          </cell>
          <cell r="L39">
            <v>505965734.02284271</v>
          </cell>
          <cell r="M39">
            <v>546118407.32193196</v>
          </cell>
          <cell r="N39">
            <v>76.634393137462837</v>
          </cell>
          <cell r="O39">
            <v>542795019.41046309</v>
          </cell>
          <cell r="P39">
            <v>233338564.50087279</v>
          </cell>
          <cell r="Q39">
            <v>324326172.32837093</v>
          </cell>
          <cell r="R39">
            <v>22437455.432338323</v>
          </cell>
          <cell r="S39">
            <v>506465729.99963379</v>
          </cell>
          <cell r="T39">
            <v>91.209830638312766</v>
          </cell>
          <cell r="U39">
            <v>452271863.70192677</v>
          </cell>
          <cell r="V39">
            <v>367065816.77478522</v>
          </cell>
          <cell r="W39">
            <v>363.56313782561989</v>
          </cell>
          <cell r="X39">
            <v>541213080.80187118</v>
          </cell>
          <cell r="Y39">
            <v>26.981721910526804</v>
          </cell>
        </row>
        <row r="40">
          <cell r="F40">
            <v>2945.7616002236423</v>
          </cell>
          <cell r="G40">
            <v>10000000000</v>
          </cell>
          <cell r="H40">
            <v>652.37135517509023</v>
          </cell>
          <cell r="I40">
            <v>2099.0139297627056</v>
          </cell>
          <cell r="J40">
            <v>2297.6249270483222</v>
          </cell>
          <cell r="K40">
            <v>1756.4715517928651</v>
          </cell>
          <cell r="L40">
            <v>503529095.45909667</v>
          </cell>
          <cell r="M40">
            <v>543586806.7787385</v>
          </cell>
          <cell r="N40">
            <v>3946.0095948191197</v>
          </cell>
          <cell r="O40">
            <v>540271152.58721495</v>
          </cell>
          <cell r="P40">
            <v>231684779.10990328</v>
          </cell>
          <cell r="Q40">
            <v>322375905.68850189</v>
          </cell>
          <cell r="R40">
            <v>21926656.688193217</v>
          </cell>
          <cell r="S40">
            <v>504027916.0927527</v>
          </cell>
          <cell r="T40">
            <v>4022.6810967100228</v>
          </cell>
          <cell r="U40">
            <v>449968311.11706483</v>
          </cell>
          <cell r="V40">
            <v>364990838.88785899</v>
          </cell>
          <cell r="W40">
            <v>1246.1724998067803</v>
          </cell>
          <cell r="X40">
            <v>538692899.8584398</v>
          </cell>
          <cell r="Y40">
            <v>3462.7442707711011</v>
          </cell>
        </row>
        <row r="41">
          <cell r="F41">
            <v>1013.4912429042395</v>
          </cell>
          <cell r="G41">
            <v>652.37135517509023</v>
          </cell>
          <cell r="H41">
            <v>10000000000</v>
          </cell>
          <cell r="I41">
            <v>592.93169463742117</v>
          </cell>
          <cell r="J41">
            <v>629.19977684873447</v>
          </cell>
          <cell r="K41">
            <v>415.38715149023307</v>
          </cell>
          <cell r="L41">
            <v>504585213.68952674</v>
          </cell>
          <cell r="M41">
            <v>544684182.0414592</v>
          </cell>
          <cell r="N41">
            <v>1584.3185631466667</v>
          </cell>
          <cell r="O41">
            <v>541365075.3201102</v>
          </cell>
          <cell r="P41">
            <v>232401465.00959167</v>
          </cell>
          <cell r="Q41">
            <v>323221134.65953761</v>
          </cell>
          <cell r="R41">
            <v>22147550.424546529</v>
          </cell>
          <cell r="S41">
            <v>505084358.97288036</v>
          </cell>
          <cell r="T41">
            <v>1696.5063255736193</v>
          </cell>
          <cell r="U41">
            <v>450966626.5520342</v>
          </cell>
          <cell r="V41">
            <v>365890127.72300327</v>
          </cell>
          <cell r="W41">
            <v>233.23911708769592</v>
          </cell>
          <cell r="X41">
            <v>539785255.03324807</v>
          </cell>
          <cell r="Y41">
            <v>1338.271317586582</v>
          </cell>
        </row>
        <row r="42">
          <cell r="F42">
            <v>86.248282585783855</v>
          </cell>
          <cell r="G42">
            <v>2099.0139297627056</v>
          </cell>
          <cell r="H42">
            <v>592.93169463742117</v>
          </cell>
          <cell r="I42">
            <v>10000000000</v>
          </cell>
          <cell r="J42">
            <v>29.042708147346051</v>
          </cell>
          <cell r="K42">
            <v>19.4869663132638</v>
          </cell>
          <cell r="L42">
            <v>505583713.96303529</v>
          </cell>
          <cell r="M42">
            <v>545721505.31933403</v>
          </cell>
          <cell r="N42">
            <v>304.22928599283523</v>
          </cell>
          <cell r="O42">
            <v>542399342.74458575</v>
          </cell>
          <cell r="P42">
            <v>233079152.75875384</v>
          </cell>
          <cell r="Q42">
            <v>324020324.77128524</v>
          </cell>
          <cell r="R42">
            <v>22357066.29189257</v>
          </cell>
          <cell r="S42">
            <v>506083547.76278043</v>
          </cell>
          <cell r="T42">
            <v>319.27847734111964</v>
          </cell>
          <cell r="U42">
            <v>451910704.24828315</v>
          </cell>
          <cell r="V42">
            <v>366740431.96443188</v>
          </cell>
          <cell r="W42">
            <v>116.74367014147012</v>
          </cell>
          <cell r="X42">
            <v>540817988.60624743</v>
          </cell>
          <cell r="Y42">
            <v>186.81665084021083</v>
          </cell>
        </row>
        <row r="43">
          <cell r="F43">
            <v>59.612888500889582</v>
          </cell>
          <cell r="G43">
            <v>2297.6249270483222</v>
          </cell>
          <cell r="H43">
            <v>629.19977684873447</v>
          </cell>
          <cell r="I43">
            <v>29.042708147346051</v>
          </cell>
          <cell r="J43">
            <v>10000000000</v>
          </cell>
          <cell r="K43">
            <v>46.960678670037062</v>
          </cell>
          <cell r="L43">
            <v>505671838.01466334</v>
          </cell>
          <cell r="M43">
            <v>545813088.3371284</v>
          </cell>
          <cell r="N43">
            <v>230.70889308053773</v>
          </cell>
          <cell r="O43">
            <v>542490606.84633839</v>
          </cell>
          <cell r="P43">
            <v>233139023.66168684</v>
          </cell>
          <cell r="Q43">
            <v>324090881.87811643</v>
          </cell>
          <cell r="R43">
            <v>22375617.621947508</v>
          </cell>
          <cell r="S43">
            <v>506171649.29215676</v>
          </cell>
          <cell r="T43">
            <v>271.71043737838039</v>
          </cell>
          <cell r="U43">
            <v>451993969.88335979</v>
          </cell>
          <cell r="V43">
            <v>366815500.46785676</v>
          </cell>
          <cell r="W43">
            <v>179.55401095842933</v>
          </cell>
          <cell r="X43">
            <v>540909118.4304682</v>
          </cell>
          <cell r="Y43">
            <v>142.74163705787217</v>
          </cell>
        </row>
        <row r="44">
          <cell r="F44">
            <v>165.57271490291296</v>
          </cell>
          <cell r="G44">
            <v>1756.4715517928651</v>
          </cell>
          <cell r="H44">
            <v>415.38715149023307</v>
          </cell>
          <cell r="I44">
            <v>19.4869663132638</v>
          </cell>
          <cell r="J44">
            <v>46.960678670037062</v>
          </cell>
          <cell r="K44">
            <v>10000000000</v>
          </cell>
          <cell r="L44">
            <v>505407431.58043575</v>
          </cell>
          <cell r="M44">
            <v>545538361.97671854</v>
          </cell>
          <cell r="N44">
            <v>445.65414270271901</v>
          </cell>
          <cell r="O44">
            <v>542216750.64754939</v>
          </cell>
          <cell r="P44">
            <v>232959470.78809938</v>
          </cell>
          <cell r="Q44">
            <v>323879202.99621344</v>
          </cell>
          <cell r="R44">
            <v>22320013.338587217</v>
          </cell>
          <cell r="S44">
            <v>505907161.78332913</v>
          </cell>
          <cell r="T44">
            <v>473.19596620333988</v>
          </cell>
          <cell r="U44">
            <v>451744022.07932758</v>
          </cell>
          <cell r="V44">
            <v>366590296.75240093</v>
          </cell>
          <cell r="W44">
            <v>54.056423159795749</v>
          </cell>
          <cell r="X44">
            <v>540635662.09890699</v>
          </cell>
          <cell r="Y44">
            <v>304.6582283213076</v>
          </cell>
        </row>
        <row r="45">
          <cell r="F45">
            <v>505965734.02284271</v>
          </cell>
          <cell r="G45">
            <v>503529095.45909667</v>
          </cell>
          <cell r="H45">
            <v>504585213.68952674</v>
          </cell>
          <cell r="I45">
            <v>505583713.96303529</v>
          </cell>
          <cell r="J45">
            <v>505671838.01466334</v>
          </cell>
          <cell r="K45">
            <v>505407431.58043575</v>
          </cell>
          <cell r="L45">
            <v>10000000000</v>
          </cell>
          <cell r="M45">
            <v>766511.94203250692</v>
          </cell>
          <cell r="N45">
            <v>506347897.99050361</v>
          </cell>
          <cell r="O45">
            <v>646872.31970221689</v>
          </cell>
          <cell r="P45">
            <v>52103299.249034531</v>
          </cell>
          <cell r="Q45">
            <v>20111870.879542913</v>
          </cell>
          <cell r="R45">
            <v>315306201.55420804</v>
          </cell>
          <cell r="S45">
            <v>229.69957974274345</v>
          </cell>
          <cell r="T45">
            <v>506377337.01593363</v>
          </cell>
          <cell r="U45">
            <v>1505559.9731661817</v>
          </cell>
          <cell r="V45">
            <v>11120369.484699894</v>
          </cell>
          <cell r="W45">
            <v>505113715.12614304</v>
          </cell>
          <cell r="X45">
            <v>593374.34792400373</v>
          </cell>
          <cell r="Y45">
            <v>506171513.80431277</v>
          </cell>
        </row>
        <row r="46">
          <cell r="F46">
            <v>546118407.32193196</v>
          </cell>
          <cell r="G46">
            <v>543586806.7787385</v>
          </cell>
          <cell r="H46">
            <v>544684182.0414592</v>
          </cell>
          <cell r="I46">
            <v>545721505.31933403</v>
          </cell>
          <cell r="J46">
            <v>545813088.3371284</v>
          </cell>
          <cell r="K46">
            <v>545538361.97671854</v>
          </cell>
          <cell r="L46">
            <v>766511.94203250692</v>
          </cell>
          <cell r="M46">
            <v>10000000000</v>
          </cell>
          <cell r="N46">
            <v>546515454.02502656</v>
          </cell>
          <cell r="O46">
            <v>5118.7015664505534</v>
          </cell>
          <cell r="P46">
            <v>65508845.429068603</v>
          </cell>
          <cell r="Q46">
            <v>28730885.92313331</v>
          </cell>
          <cell r="R46">
            <v>347164763.6225661</v>
          </cell>
          <cell r="S46">
            <v>747377.21081729326</v>
          </cell>
          <cell r="T46">
            <v>546546005.89774811</v>
          </cell>
          <cell r="U46">
            <v>4420566.2148362426</v>
          </cell>
          <cell r="V46">
            <v>17725928.455691926</v>
          </cell>
          <cell r="W46">
            <v>545233208.16641784</v>
          </cell>
          <cell r="X46">
            <v>11092.361623094061</v>
          </cell>
          <cell r="Y46">
            <v>546332195.25059581</v>
          </cell>
        </row>
        <row r="47">
          <cell r="F47">
            <v>76.634393137462837</v>
          </cell>
          <cell r="G47">
            <v>3946.0095948191197</v>
          </cell>
          <cell r="H47">
            <v>1584.3185631466667</v>
          </cell>
          <cell r="I47">
            <v>304.22928599283523</v>
          </cell>
          <cell r="J47">
            <v>230.70889308053773</v>
          </cell>
          <cell r="K47">
            <v>445.65414270271901</v>
          </cell>
          <cell r="L47">
            <v>506347897.99050361</v>
          </cell>
          <cell r="M47">
            <v>546515454.02502656</v>
          </cell>
          <cell r="N47">
            <v>10000000000</v>
          </cell>
          <cell r="O47">
            <v>543190842.61423576</v>
          </cell>
          <cell r="P47">
            <v>233598131.64091259</v>
          </cell>
          <cell r="Q47">
            <v>324632162.81526709</v>
          </cell>
          <cell r="R47">
            <v>22517996.343598478</v>
          </cell>
          <cell r="S47">
            <v>506848055.60153705</v>
          </cell>
          <cell r="T47">
            <v>13.817443278085708</v>
          </cell>
          <cell r="U47">
            <v>452633169.24643654</v>
          </cell>
          <cell r="V47">
            <v>367391338.05318469</v>
          </cell>
          <cell r="W47">
            <v>765.01190191999115</v>
          </cell>
          <cell r="X47">
            <v>541608331.44542384</v>
          </cell>
          <cell r="Y47">
            <v>26.192582486666758</v>
          </cell>
        </row>
        <row r="48">
          <cell r="F48">
            <v>542795019.41046309</v>
          </cell>
          <cell r="G48">
            <v>540271152.58721495</v>
          </cell>
          <cell r="H48">
            <v>541365075.3201102</v>
          </cell>
          <cell r="I48">
            <v>542399342.74458575</v>
          </cell>
          <cell r="J48">
            <v>542490606.84633839</v>
          </cell>
          <cell r="K48">
            <v>542216750.64754939</v>
          </cell>
          <cell r="L48">
            <v>646872.31970221689</v>
          </cell>
          <cell r="M48">
            <v>5118.7015664505534</v>
          </cell>
          <cell r="N48">
            <v>543190842.61423576</v>
          </cell>
          <cell r="O48">
            <v>10000000000</v>
          </cell>
          <cell r="P48">
            <v>64361184.793252155</v>
          </cell>
          <cell r="Q48">
            <v>27972527.553696547</v>
          </cell>
          <cell r="R48">
            <v>344516034.34876776</v>
          </cell>
          <cell r="S48">
            <v>629194.38054470159</v>
          </cell>
          <cell r="T48">
            <v>543221348.43342447</v>
          </cell>
          <cell r="U48">
            <v>4126108.4924353138</v>
          </cell>
          <cell r="V48">
            <v>17131331.926857017</v>
          </cell>
          <cell r="W48">
            <v>541912524.38867712</v>
          </cell>
          <cell r="X48">
            <v>1164.8035543716553</v>
          </cell>
          <cell r="Y48">
            <v>543008158.27654791</v>
          </cell>
        </row>
        <row r="49">
          <cell r="F49">
            <v>233338564.50087279</v>
          </cell>
          <cell r="G49">
            <v>231684779.10990328</v>
          </cell>
          <cell r="H49">
            <v>232401465.00959167</v>
          </cell>
          <cell r="I49">
            <v>233079152.75875384</v>
          </cell>
          <cell r="J49">
            <v>233139023.66168684</v>
          </cell>
          <cell r="K49">
            <v>232959470.78809938</v>
          </cell>
          <cell r="L49">
            <v>52103299.249034531</v>
          </cell>
          <cell r="M49">
            <v>65508845.429068603</v>
          </cell>
          <cell r="N49">
            <v>233598131.64091259</v>
          </cell>
          <cell r="O49">
            <v>64361184.793252155</v>
          </cell>
          <cell r="P49">
            <v>10000000000</v>
          </cell>
          <cell r="Q49">
            <v>7472777.5261853831</v>
          </cell>
          <cell r="R49">
            <v>111062202.40899883</v>
          </cell>
          <cell r="S49">
            <v>52264009.891924925</v>
          </cell>
          <cell r="T49">
            <v>233618090.7907033</v>
          </cell>
          <cell r="U49">
            <v>35895313.32416708</v>
          </cell>
          <cell r="V49">
            <v>15081900.239457663</v>
          </cell>
          <cell r="W49">
            <v>232760068.56284207</v>
          </cell>
          <cell r="X49">
            <v>63817188.213162899</v>
          </cell>
          <cell r="Y49">
            <v>233478314.20311752</v>
          </cell>
        </row>
        <row r="50">
          <cell r="F50">
            <v>324326172.32837093</v>
          </cell>
          <cell r="G50">
            <v>322375905.68850189</v>
          </cell>
          <cell r="H50">
            <v>323221134.65953761</v>
          </cell>
          <cell r="I50">
            <v>324020324.77128524</v>
          </cell>
          <cell r="J50">
            <v>324090881.87811643</v>
          </cell>
          <cell r="K50">
            <v>323879202.99621344</v>
          </cell>
          <cell r="L50">
            <v>20111870.879542913</v>
          </cell>
          <cell r="M50">
            <v>28730885.92313331</v>
          </cell>
          <cell r="N50">
            <v>324632162.81526709</v>
          </cell>
          <cell r="O50">
            <v>27972527.553696547</v>
          </cell>
          <cell r="P50">
            <v>7472777.5261853831</v>
          </cell>
          <cell r="Q50">
            <v>10000000000</v>
          </cell>
          <cell r="R50">
            <v>176152342.53913292</v>
          </cell>
          <cell r="S50">
            <v>20211794.387328397</v>
          </cell>
          <cell r="T50">
            <v>324655721.34263092</v>
          </cell>
          <cell r="U50">
            <v>10612182.524694679</v>
          </cell>
          <cell r="V50">
            <v>1322286.3855379953</v>
          </cell>
          <cell r="W50">
            <v>323644087.03608382</v>
          </cell>
          <cell r="X50">
            <v>27614293.521667331</v>
          </cell>
          <cell r="Y50">
            <v>324490920.10346347</v>
          </cell>
        </row>
        <row r="51">
          <cell r="F51">
            <v>22437455.432338323</v>
          </cell>
          <cell r="G51">
            <v>21926656.688193217</v>
          </cell>
          <cell r="H51">
            <v>22147550.424546529</v>
          </cell>
          <cell r="I51">
            <v>22357066.29189257</v>
          </cell>
          <cell r="J51">
            <v>22375617.621947508</v>
          </cell>
          <cell r="K51">
            <v>22320013.338587217</v>
          </cell>
          <cell r="L51">
            <v>315306201.55420804</v>
          </cell>
          <cell r="M51">
            <v>347164763.6225661</v>
          </cell>
          <cell r="N51">
            <v>22517996.343598478</v>
          </cell>
          <cell r="O51">
            <v>344516034.34876776</v>
          </cell>
          <cell r="P51">
            <v>111062202.40899883</v>
          </cell>
          <cell r="Q51">
            <v>176152342.53913292</v>
          </cell>
          <cell r="R51">
            <v>10000000000</v>
          </cell>
          <cell r="S51">
            <v>315700964.7301569</v>
          </cell>
          <cell r="T51">
            <v>22524203.12380087</v>
          </cell>
          <cell r="U51">
            <v>273236482.82033622</v>
          </cell>
          <cell r="V51">
            <v>207998210.83700615</v>
          </cell>
          <cell r="W51">
            <v>22258312.603377182</v>
          </cell>
          <cell r="X51">
            <v>343255967.32044643</v>
          </cell>
          <cell r="Y51">
            <v>22480807.358763639</v>
          </cell>
        </row>
        <row r="52">
          <cell r="F52">
            <v>506465729.99963379</v>
          </cell>
          <cell r="G52">
            <v>504027916.0927527</v>
          </cell>
          <cell r="H52">
            <v>505084358.97288036</v>
          </cell>
          <cell r="I52">
            <v>506083547.76278043</v>
          </cell>
          <cell r="J52">
            <v>506171649.29215676</v>
          </cell>
          <cell r="K52">
            <v>505907161.78332913</v>
          </cell>
          <cell r="L52">
            <v>229.69957974274345</v>
          </cell>
          <cell r="M52">
            <v>747377.21081729326</v>
          </cell>
          <cell r="N52">
            <v>506848055.60153705</v>
          </cell>
          <cell r="O52">
            <v>629194.38054470159</v>
          </cell>
          <cell r="P52">
            <v>52264009.891924925</v>
          </cell>
          <cell r="Q52">
            <v>20211794.387328397</v>
          </cell>
          <cell r="R52">
            <v>315700964.7301569</v>
          </cell>
          <cell r="S52">
            <v>10000000000</v>
          </cell>
          <cell r="T52">
            <v>506877581.44459659</v>
          </cell>
          <cell r="U52">
            <v>1532957.9133091937</v>
          </cell>
          <cell r="V52">
            <v>11194709.510720832</v>
          </cell>
          <cell r="W52">
            <v>505613312.87443388</v>
          </cell>
          <cell r="X52">
            <v>576493.7795405559</v>
          </cell>
          <cell r="Y52">
            <v>506671632.94330347</v>
          </cell>
        </row>
        <row r="53">
          <cell r="F53">
            <v>91.209830638312766</v>
          </cell>
          <cell r="G53">
            <v>4022.6810967100228</v>
          </cell>
          <cell r="H53">
            <v>1696.5063255736193</v>
          </cell>
          <cell r="I53">
            <v>319.27847734111964</v>
          </cell>
          <cell r="J53">
            <v>271.71043737838039</v>
          </cell>
          <cell r="K53">
            <v>473.19596620333988</v>
          </cell>
          <cell r="L53">
            <v>506377337.01593363</v>
          </cell>
          <cell r="M53">
            <v>546546005.89774811</v>
          </cell>
          <cell r="N53">
            <v>13.817443278085708</v>
          </cell>
          <cell r="O53">
            <v>543221348.43342447</v>
          </cell>
          <cell r="P53">
            <v>233618090.7907033</v>
          </cell>
          <cell r="Q53">
            <v>324655721.34263092</v>
          </cell>
          <cell r="R53">
            <v>22524203.12380087</v>
          </cell>
          <cell r="S53">
            <v>506877581.44459659</v>
          </cell>
          <cell r="T53">
            <v>10000000000</v>
          </cell>
          <cell r="U53">
            <v>452661039.77304417</v>
          </cell>
          <cell r="V53">
            <v>367416408.89431</v>
          </cell>
          <cell r="W53">
            <v>797.00188759128196</v>
          </cell>
          <cell r="X53">
            <v>541638779.84867406</v>
          </cell>
          <cell r="Y53">
            <v>31.209617314549497</v>
          </cell>
        </row>
        <row r="54">
          <cell r="F54">
            <v>452271863.70192677</v>
          </cell>
          <cell r="G54">
            <v>449968311.11706483</v>
          </cell>
          <cell r="H54">
            <v>450966626.5520342</v>
          </cell>
          <cell r="I54">
            <v>451910704.24828315</v>
          </cell>
          <cell r="J54">
            <v>451993969.88335979</v>
          </cell>
          <cell r="K54">
            <v>451744022.07932758</v>
          </cell>
          <cell r="L54">
            <v>1505559.9731661817</v>
          </cell>
          <cell r="M54">
            <v>4420566.2148362426</v>
          </cell>
          <cell r="N54">
            <v>452633169.24643654</v>
          </cell>
          <cell r="O54">
            <v>4126108.4924353138</v>
          </cell>
          <cell r="P54">
            <v>35895313.32416708</v>
          </cell>
          <cell r="Q54">
            <v>10612182.524694679</v>
          </cell>
          <cell r="R54">
            <v>273236482.82033622</v>
          </cell>
          <cell r="S54">
            <v>1532957.9133091937</v>
          </cell>
          <cell r="T54">
            <v>452661039.77304417</v>
          </cell>
          <cell r="U54">
            <v>10000000000</v>
          </cell>
          <cell r="V54">
            <v>4442535.9426549189</v>
          </cell>
          <cell r="W54">
            <v>451466356.31222022</v>
          </cell>
          <cell r="X54">
            <v>3989252.2389939949</v>
          </cell>
          <cell r="Y54">
            <v>452466428.49142468</v>
          </cell>
        </row>
        <row r="55">
          <cell r="F55">
            <v>367065816.77478522</v>
          </cell>
          <cell r="G55">
            <v>364990838.88785899</v>
          </cell>
          <cell r="H55">
            <v>365890127.72300327</v>
          </cell>
          <cell r="I55">
            <v>366740431.96443188</v>
          </cell>
          <cell r="J55">
            <v>366815500.46785676</v>
          </cell>
          <cell r="K55">
            <v>366590296.75240093</v>
          </cell>
          <cell r="L55">
            <v>11120369.484699894</v>
          </cell>
          <cell r="M55">
            <v>17725928.455691926</v>
          </cell>
          <cell r="N55">
            <v>367391338.05318469</v>
          </cell>
          <cell r="O55">
            <v>17131331.926857017</v>
          </cell>
          <cell r="P55">
            <v>15081900.239457663</v>
          </cell>
          <cell r="Q55">
            <v>1322286.3855379953</v>
          </cell>
          <cell r="R55">
            <v>207998210.83700615</v>
          </cell>
          <cell r="S55">
            <v>11194709.510720832</v>
          </cell>
          <cell r="T55">
            <v>367416408.89431</v>
          </cell>
          <cell r="U55">
            <v>4442535.9426549189</v>
          </cell>
          <cell r="V55">
            <v>10000000000</v>
          </cell>
          <cell r="W55">
            <v>366340157.25562853</v>
          </cell>
          <cell r="X55">
            <v>16851248.545667317</v>
          </cell>
          <cell r="Y55">
            <v>367241091.81248719</v>
          </cell>
        </row>
        <row r="56">
          <cell r="F56">
            <v>363.56313782561989</v>
          </cell>
          <cell r="G56">
            <v>1246.1724998067803</v>
          </cell>
          <cell r="H56">
            <v>233.23911708769592</v>
          </cell>
          <cell r="I56">
            <v>116.74367014147012</v>
          </cell>
          <cell r="J56">
            <v>179.55401095842933</v>
          </cell>
          <cell r="K56">
            <v>54.056423159795749</v>
          </cell>
          <cell r="L56">
            <v>505113715.12614304</v>
          </cell>
          <cell r="M56">
            <v>545233208.16641784</v>
          </cell>
          <cell r="N56">
            <v>765.01190191999115</v>
          </cell>
          <cell r="O56">
            <v>541912524.38867712</v>
          </cell>
          <cell r="P56">
            <v>232760068.56284207</v>
          </cell>
          <cell r="Q56">
            <v>323644087.03608382</v>
          </cell>
          <cell r="R56">
            <v>22258312.603377182</v>
          </cell>
          <cell r="S56">
            <v>505613312.87443388</v>
          </cell>
          <cell r="T56">
            <v>797.00188759128196</v>
          </cell>
          <cell r="U56">
            <v>451466356.31222022</v>
          </cell>
          <cell r="V56">
            <v>366340157.25562853</v>
          </cell>
          <cell r="W56">
            <v>10000000000</v>
          </cell>
          <cell r="X56">
            <v>540331875.43494773</v>
          </cell>
          <cell r="Y56">
            <v>557.4472753025658</v>
          </cell>
        </row>
        <row r="57">
          <cell r="F57">
            <v>541213080.80187118</v>
          </cell>
          <cell r="G57">
            <v>538692899.8584398</v>
          </cell>
          <cell r="H57">
            <v>539785255.03324807</v>
          </cell>
          <cell r="I57">
            <v>540817988.60624743</v>
          </cell>
          <cell r="J57">
            <v>540909118.4304682</v>
          </cell>
          <cell r="K57">
            <v>540635662.09890699</v>
          </cell>
          <cell r="L57">
            <v>593374.34792400373</v>
          </cell>
          <cell r="M57">
            <v>11092.361623094061</v>
          </cell>
          <cell r="N57">
            <v>541608331.44542384</v>
          </cell>
          <cell r="O57">
            <v>1164.8035543716553</v>
          </cell>
          <cell r="P57">
            <v>63817188.213162899</v>
          </cell>
          <cell r="Q57">
            <v>27614293.521667331</v>
          </cell>
          <cell r="R57">
            <v>343255967.32044643</v>
          </cell>
          <cell r="S57">
            <v>576493.7795405559</v>
          </cell>
          <cell r="T57">
            <v>541638779.84867406</v>
          </cell>
          <cell r="U57">
            <v>3989252.2389939949</v>
          </cell>
          <cell r="V57">
            <v>16851248.545667317</v>
          </cell>
          <cell r="W57">
            <v>540331875.43494773</v>
          </cell>
          <cell r="X57">
            <v>10000000000</v>
          </cell>
          <cell r="Y57">
            <v>541425903.14943981</v>
          </cell>
        </row>
        <row r="58">
          <cell r="F58">
            <v>26.981721910526804</v>
          </cell>
          <cell r="G58">
            <v>3462.7442707711011</v>
          </cell>
          <cell r="H58">
            <v>1338.271317586582</v>
          </cell>
          <cell r="I58">
            <v>186.81665084021083</v>
          </cell>
          <cell r="J58">
            <v>142.74163705787217</v>
          </cell>
          <cell r="K58">
            <v>304.6582283213076</v>
          </cell>
          <cell r="L58">
            <v>506171513.80431277</v>
          </cell>
          <cell r="M58">
            <v>546332195.25059581</v>
          </cell>
          <cell r="N58">
            <v>26.192582486666758</v>
          </cell>
          <cell r="O58">
            <v>543008158.27654791</v>
          </cell>
          <cell r="P58">
            <v>233478314.20311752</v>
          </cell>
          <cell r="Q58">
            <v>324490920.10346347</v>
          </cell>
          <cell r="R58">
            <v>22480807.358763639</v>
          </cell>
          <cell r="S58">
            <v>506671632.94330347</v>
          </cell>
          <cell r="T58">
            <v>31.209617314549497</v>
          </cell>
          <cell r="U58">
            <v>452466428.49142468</v>
          </cell>
          <cell r="V58">
            <v>367241091.81248719</v>
          </cell>
          <cell r="W58">
            <v>557.4472753025658</v>
          </cell>
          <cell r="X58">
            <v>541425903.14943981</v>
          </cell>
          <cell r="Y58">
            <v>10000000000</v>
          </cell>
        </row>
        <row r="62">
          <cell r="F62">
            <v>1</v>
          </cell>
          <cell r="G62">
            <v>313</v>
          </cell>
          <cell r="H62">
            <v>331</v>
          </cell>
          <cell r="I62">
            <v>379</v>
          </cell>
          <cell r="J62">
            <v>383</v>
          </cell>
          <cell r="K62">
            <v>371</v>
          </cell>
          <cell r="L62">
            <v>99</v>
          </cell>
          <cell r="M62">
            <v>27</v>
          </cell>
          <cell r="N62">
            <v>381</v>
          </cell>
          <cell r="O62">
            <v>47</v>
          </cell>
          <cell r="P62">
            <v>199</v>
          </cell>
          <cell r="Q62">
            <v>173</v>
          </cell>
          <cell r="R62">
            <v>243</v>
          </cell>
          <cell r="S62">
            <v>87</v>
          </cell>
          <cell r="T62">
            <v>377</v>
          </cell>
          <cell r="U62">
            <v>127</v>
          </cell>
          <cell r="V62">
            <v>147</v>
          </cell>
          <cell r="W62">
            <v>351</v>
          </cell>
          <cell r="X62">
            <v>65</v>
          </cell>
          <cell r="Y62">
            <v>393</v>
          </cell>
        </row>
        <row r="63">
          <cell r="F63">
            <v>313</v>
          </cell>
          <cell r="G63">
            <v>1</v>
          </cell>
          <cell r="H63">
            <v>337</v>
          </cell>
          <cell r="I63">
            <v>317</v>
          </cell>
          <cell r="J63">
            <v>315</v>
          </cell>
          <cell r="K63">
            <v>319</v>
          </cell>
          <cell r="L63">
            <v>119</v>
          </cell>
          <cell r="M63">
            <v>39</v>
          </cell>
          <cell r="N63">
            <v>309</v>
          </cell>
          <cell r="O63">
            <v>75</v>
          </cell>
          <cell r="P63">
            <v>211</v>
          </cell>
          <cell r="Q63">
            <v>185</v>
          </cell>
          <cell r="R63">
            <v>255</v>
          </cell>
          <cell r="S63">
            <v>117</v>
          </cell>
          <cell r="T63">
            <v>307</v>
          </cell>
          <cell r="U63">
            <v>139</v>
          </cell>
          <cell r="V63">
            <v>159</v>
          </cell>
          <cell r="W63">
            <v>327</v>
          </cell>
          <cell r="X63">
            <v>79</v>
          </cell>
          <cell r="Y63">
            <v>311</v>
          </cell>
        </row>
        <row r="64">
          <cell r="F64">
            <v>331</v>
          </cell>
          <cell r="G64">
            <v>337</v>
          </cell>
          <cell r="H64">
            <v>1</v>
          </cell>
          <cell r="I64">
            <v>341</v>
          </cell>
          <cell r="J64">
            <v>339</v>
          </cell>
          <cell r="K64">
            <v>349</v>
          </cell>
          <cell r="L64">
            <v>115</v>
          </cell>
          <cell r="M64">
            <v>37</v>
          </cell>
          <cell r="N64">
            <v>323</v>
          </cell>
          <cell r="O64">
            <v>63</v>
          </cell>
          <cell r="P64">
            <v>209</v>
          </cell>
          <cell r="Q64">
            <v>183</v>
          </cell>
          <cell r="R64">
            <v>253</v>
          </cell>
          <cell r="S64">
            <v>113</v>
          </cell>
          <cell r="T64">
            <v>321</v>
          </cell>
          <cell r="U64">
            <v>137</v>
          </cell>
          <cell r="V64">
            <v>157</v>
          </cell>
          <cell r="W64">
            <v>361</v>
          </cell>
          <cell r="X64">
            <v>77</v>
          </cell>
          <cell r="Y64">
            <v>325</v>
          </cell>
        </row>
        <row r="65">
          <cell r="F65">
            <v>379</v>
          </cell>
          <cell r="G65">
            <v>317</v>
          </cell>
          <cell r="H65">
            <v>341</v>
          </cell>
          <cell r="I65">
            <v>1</v>
          </cell>
          <cell r="J65">
            <v>391</v>
          </cell>
          <cell r="K65">
            <v>397</v>
          </cell>
          <cell r="L65">
            <v>107</v>
          </cell>
          <cell r="M65">
            <v>31</v>
          </cell>
          <cell r="N65">
            <v>357</v>
          </cell>
          <cell r="O65">
            <v>51</v>
          </cell>
          <cell r="P65">
            <v>203</v>
          </cell>
          <cell r="Q65">
            <v>177</v>
          </cell>
          <cell r="R65">
            <v>247</v>
          </cell>
          <cell r="S65">
            <v>97</v>
          </cell>
          <cell r="T65">
            <v>353</v>
          </cell>
          <cell r="U65">
            <v>131</v>
          </cell>
          <cell r="V65">
            <v>151</v>
          </cell>
          <cell r="W65">
            <v>375</v>
          </cell>
          <cell r="X65">
            <v>69</v>
          </cell>
          <cell r="Y65">
            <v>367</v>
          </cell>
        </row>
        <row r="66">
          <cell r="F66">
            <v>383</v>
          </cell>
          <cell r="G66">
            <v>315</v>
          </cell>
          <cell r="H66">
            <v>339</v>
          </cell>
          <cell r="I66">
            <v>391</v>
          </cell>
          <cell r="J66">
            <v>1</v>
          </cell>
          <cell r="K66">
            <v>387</v>
          </cell>
          <cell r="L66">
            <v>103</v>
          </cell>
          <cell r="M66">
            <v>29</v>
          </cell>
          <cell r="N66">
            <v>363</v>
          </cell>
          <cell r="O66">
            <v>49</v>
          </cell>
          <cell r="P66">
            <v>201</v>
          </cell>
          <cell r="Q66">
            <v>175</v>
          </cell>
          <cell r="R66">
            <v>245</v>
          </cell>
          <cell r="S66">
            <v>93</v>
          </cell>
          <cell r="T66">
            <v>359</v>
          </cell>
          <cell r="U66">
            <v>129</v>
          </cell>
          <cell r="V66">
            <v>149</v>
          </cell>
          <cell r="W66">
            <v>369</v>
          </cell>
          <cell r="X66">
            <v>67</v>
          </cell>
          <cell r="Y66">
            <v>373</v>
          </cell>
        </row>
        <row r="67">
          <cell r="F67">
            <v>371</v>
          </cell>
          <cell r="G67">
            <v>319</v>
          </cell>
          <cell r="H67">
            <v>349</v>
          </cell>
          <cell r="I67">
            <v>397</v>
          </cell>
          <cell r="J67">
            <v>387</v>
          </cell>
          <cell r="K67">
            <v>1</v>
          </cell>
          <cell r="L67">
            <v>109</v>
          </cell>
          <cell r="M67">
            <v>33</v>
          </cell>
          <cell r="N67">
            <v>347</v>
          </cell>
          <cell r="O67">
            <v>53</v>
          </cell>
          <cell r="P67">
            <v>205</v>
          </cell>
          <cell r="Q67">
            <v>179</v>
          </cell>
          <cell r="R67">
            <v>249</v>
          </cell>
          <cell r="S67">
            <v>101</v>
          </cell>
          <cell r="T67">
            <v>345</v>
          </cell>
          <cell r="U67">
            <v>133</v>
          </cell>
          <cell r="V67">
            <v>153</v>
          </cell>
          <cell r="W67">
            <v>385</v>
          </cell>
          <cell r="X67">
            <v>71</v>
          </cell>
          <cell r="Y67">
            <v>355</v>
          </cell>
        </row>
        <row r="68">
          <cell r="F68">
            <v>99</v>
          </cell>
          <cell r="G68">
            <v>119</v>
          </cell>
          <cell r="H68">
            <v>115</v>
          </cell>
          <cell r="I68">
            <v>107</v>
          </cell>
          <cell r="J68">
            <v>103</v>
          </cell>
          <cell r="K68">
            <v>109</v>
          </cell>
          <cell r="L68">
            <v>1</v>
          </cell>
          <cell r="M68">
            <v>291</v>
          </cell>
          <cell r="N68">
            <v>91</v>
          </cell>
          <cell r="O68">
            <v>295</v>
          </cell>
          <cell r="P68">
            <v>227</v>
          </cell>
          <cell r="Q68">
            <v>259</v>
          </cell>
          <cell r="R68">
            <v>189</v>
          </cell>
          <cell r="S68">
            <v>365</v>
          </cell>
          <cell r="T68">
            <v>89</v>
          </cell>
          <cell r="U68">
            <v>287</v>
          </cell>
          <cell r="V68">
            <v>271</v>
          </cell>
          <cell r="W68">
            <v>111</v>
          </cell>
          <cell r="X68">
            <v>299</v>
          </cell>
          <cell r="Y68">
            <v>95</v>
          </cell>
        </row>
        <row r="69">
          <cell r="F69">
            <v>27</v>
          </cell>
          <cell r="G69">
            <v>39</v>
          </cell>
          <cell r="H69">
            <v>37</v>
          </cell>
          <cell r="I69">
            <v>31</v>
          </cell>
          <cell r="J69">
            <v>29</v>
          </cell>
          <cell r="K69">
            <v>33</v>
          </cell>
          <cell r="L69">
            <v>291</v>
          </cell>
          <cell r="M69">
            <v>1</v>
          </cell>
          <cell r="N69">
            <v>23</v>
          </cell>
          <cell r="O69">
            <v>305</v>
          </cell>
          <cell r="P69">
            <v>219</v>
          </cell>
          <cell r="Q69">
            <v>231</v>
          </cell>
          <cell r="R69">
            <v>161</v>
          </cell>
          <cell r="S69">
            <v>293</v>
          </cell>
          <cell r="T69">
            <v>21</v>
          </cell>
          <cell r="U69">
            <v>279</v>
          </cell>
          <cell r="V69">
            <v>261</v>
          </cell>
          <cell r="W69">
            <v>35</v>
          </cell>
          <cell r="X69">
            <v>303</v>
          </cell>
          <cell r="Y69">
            <v>25</v>
          </cell>
        </row>
        <row r="70">
          <cell r="F70">
            <v>381</v>
          </cell>
          <cell r="G70">
            <v>309</v>
          </cell>
          <cell r="H70">
            <v>323</v>
          </cell>
          <cell r="I70">
            <v>357</v>
          </cell>
          <cell r="J70">
            <v>363</v>
          </cell>
          <cell r="K70">
            <v>347</v>
          </cell>
          <cell r="L70">
            <v>91</v>
          </cell>
          <cell r="M70">
            <v>23</v>
          </cell>
          <cell r="N70">
            <v>1</v>
          </cell>
          <cell r="O70">
            <v>43</v>
          </cell>
          <cell r="P70">
            <v>195</v>
          </cell>
          <cell r="Q70">
            <v>169</v>
          </cell>
          <cell r="R70">
            <v>239</v>
          </cell>
          <cell r="S70">
            <v>83</v>
          </cell>
          <cell r="T70">
            <v>399</v>
          </cell>
          <cell r="U70">
            <v>123</v>
          </cell>
          <cell r="V70">
            <v>143</v>
          </cell>
          <cell r="W70">
            <v>335</v>
          </cell>
          <cell r="X70">
            <v>59</v>
          </cell>
          <cell r="Y70">
            <v>395</v>
          </cell>
        </row>
        <row r="71">
          <cell r="F71">
            <v>47</v>
          </cell>
          <cell r="G71">
            <v>75</v>
          </cell>
          <cell r="H71">
            <v>63</v>
          </cell>
          <cell r="I71">
            <v>51</v>
          </cell>
          <cell r="J71">
            <v>49</v>
          </cell>
          <cell r="K71">
            <v>53</v>
          </cell>
          <cell r="L71">
            <v>295</v>
          </cell>
          <cell r="M71">
            <v>305</v>
          </cell>
          <cell r="N71">
            <v>43</v>
          </cell>
          <cell r="O71">
            <v>1</v>
          </cell>
          <cell r="P71">
            <v>221</v>
          </cell>
          <cell r="Q71">
            <v>233</v>
          </cell>
          <cell r="R71">
            <v>163</v>
          </cell>
          <cell r="S71">
            <v>297</v>
          </cell>
          <cell r="T71">
            <v>41</v>
          </cell>
          <cell r="U71">
            <v>281</v>
          </cell>
          <cell r="V71">
            <v>263</v>
          </cell>
          <cell r="W71">
            <v>55</v>
          </cell>
          <cell r="X71">
            <v>329</v>
          </cell>
          <cell r="Y71">
            <v>45</v>
          </cell>
        </row>
        <row r="72">
          <cell r="F72">
            <v>199</v>
          </cell>
          <cell r="G72">
            <v>211</v>
          </cell>
          <cell r="H72">
            <v>209</v>
          </cell>
          <cell r="I72">
            <v>203</v>
          </cell>
          <cell r="J72">
            <v>201</v>
          </cell>
          <cell r="K72">
            <v>205</v>
          </cell>
          <cell r="L72">
            <v>227</v>
          </cell>
          <cell r="M72">
            <v>219</v>
          </cell>
          <cell r="N72">
            <v>195</v>
          </cell>
          <cell r="O72">
            <v>221</v>
          </cell>
          <cell r="P72">
            <v>1</v>
          </cell>
          <cell r="Q72">
            <v>275</v>
          </cell>
          <cell r="R72">
            <v>217</v>
          </cell>
          <cell r="S72">
            <v>225</v>
          </cell>
          <cell r="T72">
            <v>193</v>
          </cell>
          <cell r="U72">
            <v>229</v>
          </cell>
          <cell r="V72">
            <v>267</v>
          </cell>
          <cell r="W72">
            <v>207</v>
          </cell>
          <cell r="X72">
            <v>223</v>
          </cell>
          <cell r="Y72">
            <v>197</v>
          </cell>
        </row>
        <row r="73">
          <cell r="F73">
            <v>173</v>
          </cell>
          <cell r="G73">
            <v>185</v>
          </cell>
          <cell r="H73">
            <v>183</v>
          </cell>
          <cell r="I73">
            <v>177</v>
          </cell>
          <cell r="J73">
            <v>175</v>
          </cell>
          <cell r="K73">
            <v>179</v>
          </cell>
          <cell r="L73">
            <v>259</v>
          </cell>
          <cell r="M73">
            <v>231</v>
          </cell>
          <cell r="N73">
            <v>169</v>
          </cell>
          <cell r="O73">
            <v>233</v>
          </cell>
          <cell r="P73">
            <v>275</v>
          </cell>
          <cell r="Q73">
            <v>1</v>
          </cell>
          <cell r="R73">
            <v>215</v>
          </cell>
          <cell r="S73">
            <v>257</v>
          </cell>
          <cell r="T73">
            <v>167</v>
          </cell>
          <cell r="U73">
            <v>273</v>
          </cell>
          <cell r="V73">
            <v>289</v>
          </cell>
          <cell r="W73">
            <v>181</v>
          </cell>
          <cell r="X73">
            <v>235</v>
          </cell>
          <cell r="Y73">
            <v>171</v>
          </cell>
        </row>
        <row r="74">
          <cell r="F74">
            <v>243</v>
          </cell>
          <cell r="G74">
            <v>255</v>
          </cell>
          <cell r="H74">
            <v>253</v>
          </cell>
          <cell r="I74">
            <v>247</v>
          </cell>
          <cell r="J74">
            <v>245</v>
          </cell>
          <cell r="K74">
            <v>249</v>
          </cell>
          <cell r="L74">
            <v>189</v>
          </cell>
          <cell r="M74">
            <v>161</v>
          </cell>
          <cell r="N74">
            <v>239</v>
          </cell>
          <cell r="O74">
            <v>163</v>
          </cell>
          <cell r="P74">
            <v>217</v>
          </cell>
          <cell r="Q74">
            <v>215</v>
          </cell>
          <cell r="R74">
            <v>1</v>
          </cell>
          <cell r="S74">
            <v>187</v>
          </cell>
          <cell r="T74">
            <v>237</v>
          </cell>
          <cell r="U74">
            <v>191</v>
          </cell>
          <cell r="V74">
            <v>213</v>
          </cell>
          <cell r="W74">
            <v>251</v>
          </cell>
          <cell r="X74">
            <v>165</v>
          </cell>
          <cell r="Y74">
            <v>241</v>
          </cell>
        </row>
        <row r="75">
          <cell r="F75">
            <v>87</v>
          </cell>
          <cell r="G75">
            <v>117</v>
          </cell>
          <cell r="H75">
            <v>113</v>
          </cell>
          <cell r="I75">
            <v>97</v>
          </cell>
          <cell r="J75">
            <v>93</v>
          </cell>
          <cell r="K75">
            <v>101</v>
          </cell>
          <cell r="L75">
            <v>365</v>
          </cell>
          <cell r="M75">
            <v>293</v>
          </cell>
          <cell r="N75">
            <v>83</v>
          </cell>
          <cell r="O75">
            <v>297</v>
          </cell>
          <cell r="P75">
            <v>225</v>
          </cell>
          <cell r="Q75">
            <v>257</v>
          </cell>
          <cell r="R75">
            <v>187</v>
          </cell>
          <cell r="S75">
            <v>1</v>
          </cell>
          <cell r="T75">
            <v>81</v>
          </cell>
          <cell r="U75">
            <v>285</v>
          </cell>
          <cell r="V75">
            <v>269</v>
          </cell>
          <cell r="W75">
            <v>105</v>
          </cell>
          <cell r="X75">
            <v>301</v>
          </cell>
          <cell r="Y75">
            <v>85</v>
          </cell>
        </row>
        <row r="76">
          <cell r="F76">
            <v>377</v>
          </cell>
          <cell r="G76">
            <v>307</v>
          </cell>
          <cell r="H76">
            <v>321</v>
          </cell>
          <cell r="I76">
            <v>353</v>
          </cell>
          <cell r="J76">
            <v>359</v>
          </cell>
          <cell r="K76">
            <v>345</v>
          </cell>
          <cell r="L76">
            <v>89</v>
          </cell>
          <cell r="M76">
            <v>21</v>
          </cell>
          <cell r="N76">
            <v>399</v>
          </cell>
          <cell r="O76">
            <v>41</v>
          </cell>
          <cell r="P76">
            <v>193</v>
          </cell>
          <cell r="Q76">
            <v>167</v>
          </cell>
          <cell r="R76">
            <v>237</v>
          </cell>
          <cell r="S76">
            <v>81</v>
          </cell>
          <cell r="T76">
            <v>1</v>
          </cell>
          <cell r="U76">
            <v>121</v>
          </cell>
          <cell r="V76">
            <v>141</v>
          </cell>
          <cell r="W76">
            <v>333</v>
          </cell>
          <cell r="X76">
            <v>57</v>
          </cell>
          <cell r="Y76">
            <v>389</v>
          </cell>
        </row>
        <row r="77">
          <cell r="F77">
            <v>127</v>
          </cell>
          <cell r="G77">
            <v>139</v>
          </cell>
          <cell r="H77">
            <v>137</v>
          </cell>
          <cell r="I77">
            <v>131</v>
          </cell>
          <cell r="J77">
            <v>129</v>
          </cell>
          <cell r="K77">
            <v>133</v>
          </cell>
          <cell r="L77">
            <v>287</v>
          </cell>
          <cell r="M77">
            <v>279</v>
          </cell>
          <cell r="N77">
            <v>123</v>
          </cell>
          <cell r="O77">
            <v>281</v>
          </cell>
          <cell r="P77">
            <v>229</v>
          </cell>
          <cell r="Q77">
            <v>273</v>
          </cell>
          <cell r="R77">
            <v>191</v>
          </cell>
          <cell r="S77">
            <v>285</v>
          </cell>
          <cell r="T77">
            <v>121</v>
          </cell>
          <cell r="U77">
            <v>1</v>
          </cell>
          <cell r="V77">
            <v>277</v>
          </cell>
          <cell r="W77">
            <v>135</v>
          </cell>
          <cell r="X77">
            <v>283</v>
          </cell>
          <cell r="Y77">
            <v>125</v>
          </cell>
        </row>
        <row r="78">
          <cell r="F78">
            <v>147</v>
          </cell>
          <cell r="G78">
            <v>159</v>
          </cell>
          <cell r="H78">
            <v>157</v>
          </cell>
          <cell r="I78">
            <v>151</v>
          </cell>
          <cell r="J78">
            <v>149</v>
          </cell>
          <cell r="K78">
            <v>153</v>
          </cell>
          <cell r="L78">
            <v>271</v>
          </cell>
          <cell r="M78">
            <v>261</v>
          </cell>
          <cell r="N78">
            <v>143</v>
          </cell>
          <cell r="O78">
            <v>263</v>
          </cell>
          <cell r="P78">
            <v>267</v>
          </cell>
          <cell r="Q78">
            <v>289</v>
          </cell>
          <cell r="R78">
            <v>213</v>
          </cell>
          <cell r="S78">
            <v>269</v>
          </cell>
          <cell r="T78">
            <v>141</v>
          </cell>
          <cell r="U78">
            <v>277</v>
          </cell>
          <cell r="V78">
            <v>1</v>
          </cell>
          <cell r="W78">
            <v>155</v>
          </cell>
          <cell r="X78">
            <v>265</v>
          </cell>
          <cell r="Y78">
            <v>145</v>
          </cell>
        </row>
        <row r="79">
          <cell r="F79">
            <v>351</v>
          </cell>
          <cell r="G79">
            <v>327</v>
          </cell>
          <cell r="H79">
            <v>361</v>
          </cell>
          <cell r="I79">
            <v>375</v>
          </cell>
          <cell r="J79">
            <v>369</v>
          </cell>
          <cell r="K79">
            <v>385</v>
          </cell>
          <cell r="L79">
            <v>111</v>
          </cell>
          <cell r="M79">
            <v>35</v>
          </cell>
          <cell r="N79">
            <v>335</v>
          </cell>
          <cell r="O79">
            <v>55</v>
          </cell>
          <cell r="P79">
            <v>207</v>
          </cell>
          <cell r="Q79">
            <v>181</v>
          </cell>
          <cell r="R79">
            <v>251</v>
          </cell>
          <cell r="S79">
            <v>105</v>
          </cell>
          <cell r="T79">
            <v>333</v>
          </cell>
          <cell r="U79">
            <v>135</v>
          </cell>
          <cell r="V79">
            <v>155</v>
          </cell>
          <cell r="W79">
            <v>1</v>
          </cell>
          <cell r="X79">
            <v>73</v>
          </cell>
          <cell r="Y79">
            <v>343</v>
          </cell>
        </row>
        <row r="80">
          <cell r="F80">
            <v>65</v>
          </cell>
          <cell r="G80">
            <v>79</v>
          </cell>
          <cell r="H80">
            <v>77</v>
          </cell>
          <cell r="I80">
            <v>69</v>
          </cell>
          <cell r="J80">
            <v>67</v>
          </cell>
          <cell r="K80">
            <v>71</v>
          </cell>
          <cell r="L80">
            <v>299</v>
          </cell>
          <cell r="M80">
            <v>303</v>
          </cell>
          <cell r="N80">
            <v>59</v>
          </cell>
          <cell r="O80">
            <v>329</v>
          </cell>
          <cell r="P80">
            <v>223</v>
          </cell>
          <cell r="Q80">
            <v>235</v>
          </cell>
          <cell r="R80">
            <v>165</v>
          </cell>
          <cell r="S80">
            <v>301</v>
          </cell>
          <cell r="T80">
            <v>57</v>
          </cell>
          <cell r="U80">
            <v>283</v>
          </cell>
          <cell r="V80">
            <v>265</v>
          </cell>
          <cell r="W80">
            <v>73</v>
          </cell>
          <cell r="X80">
            <v>1</v>
          </cell>
          <cell r="Y80">
            <v>61</v>
          </cell>
        </row>
        <row r="81">
          <cell r="F81">
            <v>393</v>
          </cell>
          <cell r="G81">
            <v>311</v>
          </cell>
          <cell r="H81">
            <v>325</v>
          </cell>
          <cell r="I81">
            <v>367</v>
          </cell>
          <cell r="J81">
            <v>373</v>
          </cell>
          <cell r="K81">
            <v>355</v>
          </cell>
          <cell r="L81">
            <v>95</v>
          </cell>
          <cell r="M81">
            <v>25</v>
          </cell>
          <cell r="N81">
            <v>395</v>
          </cell>
          <cell r="O81">
            <v>45</v>
          </cell>
          <cell r="P81">
            <v>197</v>
          </cell>
          <cell r="Q81">
            <v>171</v>
          </cell>
          <cell r="R81">
            <v>241</v>
          </cell>
          <cell r="S81">
            <v>85</v>
          </cell>
          <cell r="T81">
            <v>389</v>
          </cell>
          <cell r="U81">
            <v>125</v>
          </cell>
          <cell r="V81">
            <v>145</v>
          </cell>
          <cell r="W81">
            <v>343</v>
          </cell>
          <cell r="X81">
            <v>61</v>
          </cell>
          <cell r="Y81">
            <v>1</v>
          </cell>
        </row>
        <row r="85">
          <cell r="B85">
            <v>3.9896920972703569</v>
          </cell>
          <cell r="C85">
            <v>2.7830551513011725</v>
          </cell>
          <cell r="F85">
            <v>10000000000</v>
          </cell>
          <cell r="G85">
            <v>3.6928246405246994</v>
          </cell>
          <cell r="H85">
            <v>1.7187665672761097</v>
          </cell>
          <cell r="I85">
            <v>1.8612977361943579</v>
          </cell>
          <cell r="J85">
            <v>2.6400258016044149</v>
          </cell>
          <cell r="K85">
            <v>0.54503658222416695</v>
          </cell>
          <cell r="L85">
            <v>27.293408294954993</v>
          </cell>
          <cell r="M85">
            <v>32.301025045165943</v>
          </cell>
          <cell r="N85">
            <v>3.0359237788662323</v>
          </cell>
          <cell r="O85">
            <v>30.639030965094165</v>
          </cell>
          <cell r="P85">
            <v>9.7803383962288457</v>
          </cell>
          <cell r="Q85">
            <v>12.891179754651095</v>
          </cell>
          <cell r="R85">
            <v>3.9949441688459468</v>
          </cell>
          <cell r="S85">
            <v>21.700568235861667</v>
          </cell>
          <cell r="T85">
            <v>0.60492288096762659</v>
          </cell>
          <cell r="U85">
            <v>27.302044141842959</v>
          </cell>
          <cell r="V85">
            <v>24.581996812587796</v>
          </cell>
          <cell r="W85">
            <v>0.84860722916469178</v>
          </cell>
          <cell r="X85">
            <v>26.96614941381856</v>
          </cell>
          <cell r="Y85">
            <v>0.6224316769773488</v>
          </cell>
        </row>
        <row r="86">
          <cell r="B86">
            <v>5.8391670543034806</v>
          </cell>
          <cell r="C86">
            <v>3.3048472783326415</v>
          </cell>
          <cell r="F86">
            <v>3.6928246405246994</v>
          </cell>
          <cell r="G86">
            <v>10000000000</v>
          </cell>
          <cell r="H86">
            <v>0.8960507331467813</v>
          </cell>
          <cell r="I86">
            <v>0.43000253572700348</v>
          </cell>
          <cell r="J86">
            <v>0.46539930971104565</v>
          </cell>
          <cell r="K86">
            <v>1.4004507716921566</v>
          </cell>
          <cell r="L86">
            <v>19.166290626335105</v>
          </cell>
          <cell r="M86">
            <v>24.301813763373243</v>
          </cell>
          <cell r="N86">
            <v>0.32132456098620971</v>
          </cell>
          <cell r="O86">
            <v>24.75065303674862</v>
          </cell>
          <cell r="P86">
            <v>8.6478351893295446</v>
          </cell>
          <cell r="Q86">
            <v>4.4308760638972942</v>
          </cell>
          <cell r="R86">
            <v>3.3560180571781522</v>
          </cell>
          <cell r="S86">
            <v>14.207096091015945</v>
          </cell>
          <cell r="T86">
            <v>1.8826925154845133</v>
          </cell>
          <cell r="U86">
            <v>13.884531602148797</v>
          </cell>
          <cell r="V86">
            <v>10.512172516426649</v>
          </cell>
          <cell r="W86">
            <v>1.400322015638968</v>
          </cell>
          <cell r="X86">
            <v>15.149935532370018</v>
          </cell>
          <cell r="Y86">
            <v>2.4459771398883272</v>
          </cell>
        </row>
        <row r="87">
          <cell r="B87">
            <v>5.2783999598691729</v>
          </cell>
          <cell r="C87">
            <v>2.5422261411049316</v>
          </cell>
          <cell r="F87">
            <v>1.7187665672761097</v>
          </cell>
          <cell r="G87">
            <v>0.8960507331467813</v>
          </cell>
          <cell r="H87">
            <v>10000000000</v>
          </cell>
          <cell r="I87">
            <v>0.11051190795296996</v>
          </cell>
          <cell r="J87">
            <v>0.12438111478586096</v>
          </cell>
          <cell r="K87">
            <v>0.52906560538049163</v>
          </cell>
          <cell r="L87">
            <v>26.698801575138631</v>
          </cell>
          <cell r="M87">
            <v>32.456481372014551</v>
          </cell>
          <cell r="N87">
            <v>0.24796501133969759</v>
          </cell>
          <cell r="O87">
            <v>32.249585206135066</v>
          </cell>
          <cell r="P87">
            <v>11.8812469147377</v>
          </cell>
          <cell r="Q87">
            <v>9.158131189410021</v>
          </cell>
          <cell r="R87">
            <v>4.9856825704799634</v>
          </cell>
          <cell r="S87">
            <v>20.811645556997668</v>
          </cell>
          <cell r="T87">
            <v>1.3803691539950131</v>
          </cell>
          <cell r="U87">
            <v>21.742015081226363</v>
          </cell>
          <cell r="V87">
            <v>17.529169189616418</v>
          </cell>
          <cell r="W87">
            <v>0.15243353791283659</v>
          </cell>
          <cell r="X87">
            <v>23.005284652055288</v>
          </cell>
          <cell r="Y87">
            <v>1.9210310512278346</v>
          </cell>
        </row>
        <row r="88">
          <cell r="B88">
            <v>5.3514293101237769</v>
          </cell>
          <cell r="C88">
            <v>2.866538678565882</v>
          </cell>
          <cell r="F88">
            <v>1.8612977361943579</v>
          </cell>
          <cell r="G88">
            <v>0.43000253572700348</v>
          </cell>
          <cell r="H88">
            <v>0.11051190795296996</v>
          </cell>
          <cell r="I88">
            <v>10000000000</v>
          </cell>
          <cell r="J88">
            <v>0.10858560427115321</v>
          </cell>
          <cell r="K88">
            <v>0.43777447904306543</v>
          </cell>
          <cell r="L88">
            <v>23.398517084773655</v>
          </cell>
          <cell r="M88">
            <v>28.829134979989657</v>
          </cell>
          <cell r="N88">
            <v>0.15862088728444124</v>
          </cell>
          <cell r="O88">
            <v>28.713489190436885</v>
          </cell>
          <cell r="P88">
            <v>9.9517256974346253</v>
          </cell>
          <cell r="Q88">
            <v>7.3050558516247417</v>
          </cell>
          <cell r="R88">
            <v>3.8063128674930491</v>
          </cell>
          <cell r="S88">
            <v>17.906130085832654</v>
          </cell>
          <cell r="T88">
            <v>1.0559586541964783</v>
          </cell>
          <cell r="U88">
            <v>18.875558116079166</v>
          </cell>
          <cell r="V88">
            <v>15.158671175123025</v>
          </cell>
          <cell r="W88">
            <v>0.28460844706722732</v>
          </cell>
          <cell r="X88">
            <v>19.959163132189005</v>
          </cell>
          <cell r="Y88">
            <v>1.5463869696653068</v>
          </cell>
        </row>
        <row r="89">
          <cell r="B89">
            <v>5.6100130818397975</v>
          </cell>
          <cell r="C89">
            <v>2.6622838444094534</v>
          </cell>
          <cell r="F89">
            <v>2.6400258016044149</v>
          </cell>
          <cell r="G89">
            <v>0.46539930971104565</v>
          </cell>
          <cell r="H89">
            <v>0.12438111478586096</v>
          </cell>
          <cell r="I89">
            <v>0.10858560427115321</v>
          </cell>
          <cell r="J89">
            <v>10000000000</v>
          </cell>
          <cell r="K89">
            <v>0.9309476665066565</v>
          </cell>
          <cell r="L89">
            <v>25.241055863534068</v>
          </cell>
          <cell r="M89">
            <v>30.992691364905703</v>
          </cell>
          <cell r="N89">
            <v>2.2209126669905047E-2</v>
          </cell>
          <cell r="O89">
            <v>31.164959583586157</v>
          </cell>
          <cell r="P89">
            <v>11.773149512590852</v>
          </cell>
          <cell r="Q89">
            <v>7.7680672177494205</v>
          </cell>
          <cell r="R89">
            <v>5.0298371500594747</v>
          </cell>
          <cell r="S89">
            <v>19.499775219456158</v>
          </cell>
          <cell r="T89">
            <v>1.8361843562435443</v>
          </cell>
          <cell r="U89">
            <v>19.391775442553932</v>
          </cell>
          <cell r="V89">
            <v>15.107490986478734</v>
          </cell>
          <cell r="W89">
            <v>0.52040652977403634</v>
          </cell>
          <cell r="X89">
            <v>20.920966378669462</v>
          </cell>
          <cell r="Y89">
            <v>2.4684410694121133</v>
          </cell>
        </row>
        <row r="90">
          <cell r="B90">
            <v>4.700212505178528</v>
          </cell>
          <cell r="C90">
            <v>2.9835478747855255</v>
          </cell>
          <cell r="F90">
            <v>0.54503658222416695</v>
          </cell>
          <cell r="G90">
            <v>1.4004507716921566</v>
          </cell>
          <cell r="H90">
            <v>0.52906560538049163</v>
          </cell>
          <cell r="I90">
            <v>0.43777447904306543</v>
          </cell>
          <cell r="J90">
            <v>0.9309476665066565</v>
          </cell>
          <cell r="K90">
            <v>10000000000</v>
          </cell>
          <cell r="L90">
            <v>23.297198809073361</v>
          </cell>
          <cell r="M90">
            <v>28.35391703730042</v>
          </cell>
          <cell r="N90">
            <v>1.1193963045868187</v>
          </cell>
          <cell r="O90">
            <v>27.502851372750548</v>
          </cell>
          <cell r="P90">
            <v>8.4714001761727022</v>
          </cell>
          <cell r="Q90">
            <v>8.7671308386205133</v>
          </cell>
          <cell r="R90">
            <v>2.8757065543031275</v>
          </cell>
          <cell r="S90">
            <v>17.947829979926173</v>
          </cell>
          <cell r="T90">
            <v>0.22211661586282899</v>
          </cell>
          <cell r="U90">
            <v>21.273473184848868</v>
          </cell>
          <cell r="V90">
            <v>18.302882442933122</v>
          </cell>
          <cell r="W90">
            <v>0.18692331920828684</v>
          </cell>
          <cell r="X90">
            <v>21.552729007238565</v>
          </cell>
          <cell r="Y90">
            <v>0.44929039475338473</v>
          </cell>
        </row>
        <row r="91">
          <cell r="B91">
            <v>5.8028618815757405</v>
          </cell>
          <cell r="C91">
            <v>7.6826289723836716</v>
          </cell>
          <cell r="F91">
            <v>27.293408294954993</v>
          </cell>
          <cell r="G91">
            <v>19.166290626335105</v>
          </cell>
          <cell r="H91">
            <v>26.698801575138631</v>
          </cell>
          <cell r="I91">
            <v>23.398517084773655</v>
          </cell>
          <cell r="J91">
            <v>25.241055863534068</v>
          </cell>
          <cell r="K91">
            <v>23.297198809073361</v>
          </cell>
          <cell r="L91">
            <v>10000000000</v>
          </cell>
          <cell r="M91">
            <v>0.33460739562689307</v>
          </cell>
          <cell r="N91">
            <v>24.352998711333942</v>
          </cell>
          <cell r="O91">
            <v>0.85616412976796363</v>
          </cell>
          <cell r="P91">
            <v>5.1587351812733022</v>
          </cell>
          <cell r="Q91">
            <v>6.3706794565141998</v>
          </cell>
          <cell r="R91">
            <v>10.413928180639186</v>
          </cell>
          <cell r="S91">
            <v>0.37054291853443194</v>
          </cell>
          <cell r="T91">
            <v>20.162053686323379</v>
          </cell>
          <cell r="U91">
            <v>4.1082939224634512</v>
          </cell>
          <cell r="V91">
            <v>8.2865682238650891</v>
          </cell>
          <cell r="W91">
            <v>26.704960946112447</v>
          </cell>
          <cell r="X91">
            <v>1.8328957220151985</v>
          </cell>
          <cell r="Y91">
            <v>19.677474603893977</v>
          </cell>
        </row>
        <row r="92">
          <cell r="B92">
            <v>5.6140250475424684</v>
          </cell>
          <cell r="C92">
            <v>8.2293903881210877</v>
          </cell>
          <cell r="F92">
            <v>32.301025045165943</v>
          </cell>
          <cell r="G92">
            <v>24.301813763373243</v>
          </cell>
          <cell r="H92">
            <v>32.456481372014551</v>
          </cell>
          <cell r="I92">
            <v>28.829134979989657</v>
          </cell>
          <cell r="J92">
            <v>30.992691364905703</v>
          </cell>
          <cell r="K92">
            <v>28.35391703730042</v>
          </cell>
          <cell r="L92">
            <v>0.33460739562689307</v>
          </cell>
          <cell r="M92">
            <v>10000000000</v>
          </cell>
          <cell r="N92">
            <v>30.056582118762737</v>
          </cell>
          <cell r="O92">
            <v>0.32164423956136634</v>
          </cell>
          <cell r="P92">
            <v>6.9417160236126172</v>
          </cell>
          <cell r="Q92">
            <v>9.62455266009664</v>
          </cell>
          <cell r="R92">
            <v>13.590083196658423</v>
          </cell>
          <cell r="S92">
            <v>1.3709660687772298</v>
          </cell>
          <cell r="T92">
            <v>24.682124382788974</v>
          </cell>
          <cell r="U92">
            <v>6.2529027204569783</v>
          </cell>
          <cell r="V92">
            <v>11.528536073184116</v>
          </cell>
          <cell r="W92">
            <v>32.25788267402757</v>
          </cell>
          <cell r="X92">
            <v>3.3341205818409363</v>
          </cell>
          <cell r="Y92">
            <v>23.999995473588122</v>
          </cell>
        </row>
        <row r="93">
          <cell r="B93">
            <v>5.7317350019041342</v>
          </cell>
          <cell r="C93">
            <v>2.7482658241828704</v>
          </cell>
          <cell r="F93">
            <v>3.0359237788662323</v>
          </cell>
          <cell r="G93">
            <v>0.32132456098620971</v>
          </cell>
          <cell r="H93">
            <v>0.24796501133969759</v>
          </cell>
          <cell r="I93">
            <v>0.15862088728444124</v>
          </cell>
          <cell r="J93">
            <v>2.2209126669905047E-2</v>
          </cell>
          <cell r="K93">
            <v>1.1193963045868187</v>
          </cell>
          <cell r="L93">
            <v>24.352998711333942</v>
          </cell>
          <cell r="M93">
            <v>30.056582118762737</v>
          </cell>
          <cell r="N93">
            <v>10000000000</v>
          </cell>
          <cell r="O93">
            <v>30.36911679424685</v>
          </cell>
          <cell r="P93">
            <v>11.531551423063977</v>
          </cell>
          <cell r="Q93">
            <v>7.1063923519512784</v>
          </cell>
          <cell r="R93">
            <v>4.9449603091829823</v>
          </cell>
          <cell r="S93">
            <v>18.716290559571057</v>
          </cell>
          <cell r="T93">
            <v>2.0099562778879494</v>
          </cell>
          <cell r="U93">
            <v>18.26481953504091</v>
          </cell>
          <cell r="V93">
            <v>14.026312778852816</v>
          </cell>
          <cell r="W93">
            <v>0.72890310209434805</v>
          </cell>
          <cell r="X93">
            <v>19.858098734517469</v>
          </cell>
          <cell r="Y93">
            <v>2.6659271204109016</v>
          </cell>
        </row>
        <row r="94">
          <cell r="B94">
            <v>5.0470373505520989</v>
          </cell>
          <cell r="C94">
            <v>8.2163830431605192</v>
          </cell>
          <cell r="F94">
            <v>30.639030965094165</v>
          </cell>
          <cell r="G94">
            <v>24.75065303674862</v>
          </cell>
          <cell r="H94">
            <v>32.249585206135066</v>
          </cell>
          <cell r="I94">
            <v>28.713489190436885</v>
          </cell>
          <cell r="J94">
            <v>31.164959583586157</v>
          </cell>
          <cell r="K94">
            <v>27.502851372750548</v>
          </cell>
          <cell r="L94">
            <v>0.85616412976796363</v>
          </cell>
          <cell r="M94">
            <v>0.32164423956136634</v>
          </cell>
          <cell r="N94">
            <v>30.36911679424685</v>
          </cell>
          <cell r="O94">
            <v>10000000000</v>
          </cell>
          <cell r="P94">
            <v>5.8485900988507673</v>
          </cell>
          <cell r="Q94">
            <v>10.954886271096754</v>
          </cell>
          <cell r="R94">
            <v>12.699191274883264</v>
          </cell>
          <cell r="S94">
            <v>1.8771798559364528</v>
          </cell>
          <cell r="T94">
            <v>23.580708370622993</v>
          </cell>
          <cell r="U94">
            <v>8.7073180058488244</v>
          </cell>
          <cell r="V94">
            <v>14.435373620566835</v>
          </cell>
          <cell r="W94">
            <v>31.613853245544732</v>
          </cell>
          <cell r="X94">
            <v>5.1801005344344349</v>
          </cell>
          <cell r="Y94">
            <v>22.696528086884982</v>
          </cell>
        </row>
        <row r="95">
          <cell r="B95">
            <v>4.4202886493722051</v>
          </cell>
          <cell r="C95">
            <v>5.8806227462935476</v>
          </cell>
          <cell r="F95">
            <v>9.7803383962288457</v>
          </cell>
          <cell r="G95">
            <v>8.6478351893295446</v>
          </cell>
          <cell r="H95">
            <v>11.8812469147377</v>
          </cell>
          <cell r="I95">
            <v>9.9517256974346253</v>
          </cell>
          <cell r="J95">
            <v>11.773149512590852</v>
          </cell>
          <cell r="K95">
            <v>8.4714001761727022</v>
          </cell>
          <cell r="L95">
            <v>5.1587351812733022</v>
          </cell>
          <cell r="M95">
            <v>6.9417160236126172</v>
          </cell>
          <cell r="N95">
            <v>11.531551423063977</v>
          </cell>
          <cell r="O95">
            <v>5.8485900988507673</v>
          </cell>
          <cell r="P95">
            <v>10000000000</v>
          </cell>
          <cell r="Q95">
            <v>4.9892534550207488</v>
          </cell>
          <cell r="R95">
            <v>1.489375493810045</v>
          </cell>
          <cell r="S95">
            <v>3.3366372759232252</v>
          </cell>
          <cell r="T95">
            <v>6.1818277303886324</v>
          </cell>
          <cell r="U95">
            <v>10.233823805398808</v>
          </cell>
          <cell r="V95">
            <v>12.474275079986487</v>
          </cell>
          <cell r="W95">
            <v>11.011548774594329</v>
          </cell>
          <cell r="X95">
            <v>7.8905909888011978</v>
          </cell>
          <cell r="Y95">
            <v>5.622979758742586</v>
          </cell>
        </row>
        <row r="96">
          <cell r="B96">
            <v>6.5712400341108932</v>
          </cell>
          <cell r="C96">
            <v>5.2784088345383733</v>
          </cell>
          <cell r="F96">
            <v>12.891179754651095</v>
          </cell>
          <cell r="G96">
            <v>4.4308760638972942</v>
          </cell>
          <cell r="H96">
            <v>9.158131189410021</v>
          </cell>
          <cell r="I96">
            <v>7.3050558516247417</v>
          </cell>
          <cell r="J96">
            <v>7.7680672177494205</v>
          </cell>
          <cell r="K96">
            <v>8.7671308386205133</v>
          </cell>
          <cell r="L96">
            <v>6.3706794565141998</v>
          </cell>
          <cell r="M96">
            <v>9.62455266009664</v>
          </cell>
          <cell r="N96">
            <v>7.1063923519512784</v>
          </cell>
          <cell r="O96">
            <v>10.954886271096754</v>
          </cell>
          <cell r="P96">
            <v>4.9892534550207488</v>
          </cell>
          <cell r="Q96">
            <v>10000000000</v>
          </cell>
          <cell r="R96">
            <v>4.1439048695841842</v>
          </cell>
          <cell r="S96">
            <v>3.8135501785245243</v>
          </cell>
          <cell r="T96">
            <v>7.9631987338015318</v>
          </cell>
          <cell r="U96">
            <v>2.7343153873163821</v>
          </cell>
          <cell r="V96">
            <v>2.1391758672757675</v>
          </cell>
          <cell r="W96">
            <v>10.016718876757125</v>
          </cell>
          <cell r="X96">
            <v>3.220362976965284</v>
          </cell>
          <cell r="Y96">
            <v>8.3248644636364357</v>
          </cell>
        </row>
        <row r="97">
          <cell r="B97">
            <v>4.6262252547320841</v>
          </cell>
          <cell r="C97">
            <v>4.6777239108203004</v>
          </cell>
          <cell r="F97">
            <v>3.9949441688459468</v>
          </cell>
          <cell r="G97">
            <v>3.3560180571781522</v>
          </cell>
          <cell r="H97">
            <v>4.9856825704799634</v>
          </cell>
          <cell r="I97">
            <v>3.8063128674930491</v>
          </cell>
          <cell r="J97">
            <v>5.0298371500594747</v>
          </cell>
          <cell r="K97">
            <v>2.8757065543031275</v>
          </cell>
          <cell r="L97">
            <v>10.413928180639186</v>
          </cell>
          <cell r="M97">
            <v>13.590083196658423</v>
          </cell>
          <cell r="N97">
            <v>4.9449603091829823</v>
          </cell>
          <cell r="O97">
            <v>12.699191274883264</v>
          </cell>
          <cell r="P97">
            <v>1.489375493810045</v>
          </cell>
          <cell r="Q97">
            <v>4.1439048695841842</v>
          </cell>
          <cell r="R97">
            <v>10000000000</v>
          </cell>
          <cell r="S97">
            <v>7.1271888179345657</v>
          </cell>
          <cell r="T97">
            <v>1.6703195435768508</v>
          </cell>
          <cell r="U97">
            <v>12.231334514250833</v>
          </cell>
          <cell r="V97">
            <v>12.232983428515741</v>
          </cell>
          <cell r="W97">
            <v>4.4044160418684628</v>
          </cell>
          <cell r="X97">
            <v>11.074901955201149</v>
          </cell>
          <cell r="Y97">
            <v>1.4702919259119289</v>
          </cell>
        </row>
        <row r="98">
          <cell r="B98">
            <v>5.803296434722192</v>
          </cell>
          <cell r="C98">
            <v>7.0739067617670432</v>
          </cell>
          <cell r="F98">
            <v>21.700568235861667</v>
          </cell>
          <cell r="G98">
            <v>14.207096091015945</v>
          </cell>
          <cell r="H98">
            <v>20.811645556997668</v>
          </cell>
          <cell r="I98">
            <v>17.906130085832654</v>
          </cell>
          <cell r="J98">
            <v>19.499775219456158</v>
          </cell>
          <cell r="K98">
            <v>17.947829979926173</v>
          </cell>
          <cell r="L98">
            <v>0.37054291853443194</v>
          </cell>
          <cell r="M98">
            <v>1.3709660687772298</v>
          </cell>
          <cell r="N98">
            <v>18.716290559571057</v>
          </cell>
          <cell r="O98">
            <v>1.8771798559364528</v>
          </cell>
          <cell r="P98">
            <v>3.3366372759232252</v>
          </cell>
          <cell r="Q98">
            <v>3.8135501785245243</v>
          </cell>
          <cell r="R98">
            <v>7.1271888179345657</v>
          </cell>
          <cell r="S98">
            <v>10000000000</v>
          </cell>
          <cell r="T98">
            <v>15.313551445832685</v>
          </cell>
          <cell r="U98">
            <v>3.1891196256807715</v>
          </cell>
          <cell r="V98">
            <v>6.3213559315472549</v>
          </cell>
          <cell r="W98">
            <v>20.883498098171589</v>
          </cell>
          <cell r="X98">
            <v>1.4010276991980914</v>
          </cell>
          <cell r="Y98">
            <v>14.973006696571419</v>
          </cell>
        </row>
        <row r="99">
          <cell r="B99">
            <v>4.4700058094323145</v>
          </cell>
          <cell r="C99">
            <v>3.3947917113307549</v>
          </cell>
          <cell r="F99">
            <v>0.60492288096762659</v>
          </cell>
          <cell r="G99">
            <v>1.8826925154845133</v>
          </cell>
          <cell r="H99">
            <v>1.3803691539950131</v>
          </cell>
          <cell r="I99">
            <v>1.0559586541964783</v>
          </cell>
          <cell r="J99">
            <v>1.8361843562435443</v>
          </cell>
          <cell r="K99">
            <v>0.22211661586282899</v>
          </cell>
          <cell r="L99">
            <v>20.162053686323379</v>
          </cell>
          <cell r="M99">
            <v>24.682124382788974</v>
          </cell>
          <cell r="N99">
            <v>2.0099562778879494</v>
          </cell>
          <cell r="O99">
            <v>23.580708370622993</v>
          </cell>
          <cell r="P99">
            <v>6.1818277303886324</v>
          </cell>
          <cell r="Q99">
            <v>7.9631987338015318</v>
          </cell>
          <cell r="R99">
            <v>1.6703195435768508</v>
          </cell>
          <cell r="S99">
            <v>15.313551445832685</v>
          </cell>
          <cell r="T99">
            <v>10000000000</v>
          </cell>
          <cell r="U99">
            <v>19.804577132617016</v>
          </cell>
          <cell r="V99">
            <v>17.733191878840479</v>
          </cell>
          <cell r="W99">
            <v>0.81602197909233598</v>
          </cell>
          <cell r="X99">
            <v>19.503677534432796</v>
          </cell>
          <cell r="Y99">
            <v>4.6687924832226516E-2</v>
          </cell>
        </row>
        <row r="100">
          <cell r="B100">
            <v>7.5316343850347067</v>
          </cell>
          <cell r="C100">
            <v>6.6244987565086735</v>
          </cell>
          <cell r="F100">
            <v>27.302044141842959</v>
          </cell>
          <cell r="G100">
            <v>13.884531602148797</v>
          </cell>
          <cell r="H100">
            <v>21.742015081226363</v>
          </cell>
          <cell r="I100">
            <v>18.875558116079166</v>
          </cell>
          <cell r="J100">
            <v>19.391775442553932</v>
          </cell>
          <cell r="K100">
            <v>21.273473184848868</v>
          </cell>
          <cell r="L100">
            <v>4.1082939224634512</v>
          </cell>
          <cell r="M100">
            <v>6.2529027204569783</v>
          </cell>
          <cell r="N100">
            <v>18.26481953504091</v>
          </cell>
          <cell r="O100">
            <v>8.7073180058488244</v>
          </cell>
          <cell r="P100">
            <v>10.233823805398808</v>
          </cell>
          <cell r="Q100">
            <v>2.7343153873163821</v>
          </cell>
          <cell r="R100">
            <v>12.231334514250833</v>
          </cell>
          <cell r="S100">
            <v>3.1891196256807715</v>
          </cell>
          <cell r="T100">
            <v>19.804577132617016</v>
          </cell>
          <cell r="U100">
            <v>10000000000</v>
          </cell>
          <cell r="V100">
            <v>0.91301317482160393</v>
          </cell>
          <cell r="W100">
            <v>23.19888174989363</v>
          </cell>
          <cell r="X100">
            <v>0.45771938643913362</v>
          </cell>
          <cell r="Y100">
            <v>20.195535184148106</v>
          </cell>
        </row>
        <row r="101">
          <cell r="B101">
            <v>7.9503088281276346</v>
          </cell>
          <cell r="C101">
            <v>5.7655896312093606</v>
          </cell>
          <cell r="F101">
            <v>24.581996812587796</v>
          </cell>
          <cell r="G101">
            <v>10.512172516426649</v>
          </cell>
          <cell r="H101">
            <v>17.529169189616418</v>
          </cell>
          <cell r="I101">
            <v>15.158671175123025</v>
          </cell>
          <cell r="J101">
            <v>15.107490986478734</v>
          </cell>
          <cell r="K101">
            <v>18.302882442933122</v>
          </cell>
          <cell r="L101">
            <v>8.2865682238650891</v>
          </cell>
          <cell r="M101">
            <v>11.528536073184116</v>
          </cell>
          <cell r="N101">
            <v>14.026312778852816</v>
          </cell>
          <cell r="O101">
            <v>14.435373620566835</v>
          </cell>
          <cell r="P101">
            <v>12.474275079986487</v>
          </cell>
          <cell r="Q101">
            <v>2.1391758672757675</v>
          </cell>
          <cell r="R101">
            <v>12.232983428515741</v>
          </cell>
          <cell r="S101">
            <v>6.3213559315472549</v>
          </cell>
          <cell r="T101">
            <v>17.733191878840479</v>
          </cell>
          <cell r="U101">
            <v>0.91301317482160393</v>
          </cell>
          <cell r="V101">
            <v>10000000000</v>
          </cell>
          <cell r="W101">
            <v>19.402073632511865</v>
          </cell>
          <cell r="X101">
            <v>2.5146159123752296</v>
          </cell>
          <cell r="Y101">
            <v>18.478629797010456</v>
          </cell>
        </row>
        <row r="102">
          <cell r="B102">
            <v>4.8916809596785686</v>
          </cell>
          <cell r="C102">
            <v>2.5959099636627192</v>
          </cell>
          <cell r="F102">
            <v>0.84860722916469178</v>
          </cell>
          <cell r="G102">
            <v>1.400322015638968</v>
          </cell>
          <cell r="H102">
            <v>0.15243353791283659</v>
          </cell>
          <cell r="I102">
            <v>0.28460844706722732</v>
          </cell>
          <cell r="J102">
            <v>0.52040652977403634</v>
          </cell>
          <cell r="K102">
            <v>0.18692331920828684</v>
          </cell>
          <cell r="L102">
            <v>26.704960946112447</v>
          </cell>
          <cell r="M102">
            <v>32.25788267402757</v>
          </cell>
          <cell r="N102">
            <v>0.72890310209434805</v>
          </cell>
          <cell r="O102">
            <v>31.613853245544732</v>
          </cell>
          <cell r="P102">
            <v>11.011548774594329</v>
          </cell>
          <cell r="Q102">
            <v>10.016718876757125</v>
          </cell>
          <cell r="R102">
            <v>4.4044160418684628</v>
          </cell>
          <cell r="S102">
            <v>20.883498098171589</v>
          </cell>
          <cell r="T102">
            <v>0.81602197909233598</v>
          </cell>
          <cell r="U102">
            <v>23.19888174989363</v>
          </cell>
          <cell r="V102">
            <v>19.402073632511865</v>
          </cell>
          <cell r="W102">
            <v>10000000000</v>
          </cell>
          <cell r="X102">
            <v>23.997133095586427</v>
          </cell>
          <cell r="Y102">
            <v>1.2040873461134995</v>
          </cell>
        </row>
        <row r="103">
          <cell r="B103">
            <v>6.9859099391314157</v>
          </cell>
          <cell r="C103">
            <v>7.02437900806241</v>
          </cell>
          <cell r="F103">
            <v>26.96614941381856</v>
          </cell>
          <cell r="G103">
            <v>15.149935532370018</v>
          </cell>
          <cell r="H103">
            <v>23.005284652055288</v>
          </cell>
          <cell r="I103">
            <v>19.959163132189005</v>
          </cell>
          <cell r="J103">
            <v>20.920966378669462</v>
          </cell>
          <cell r="K103">
            <v>21.552729007238565</v>
          </cell>
          <cell r="L103">
            <v>1.8328957220151985</v>
          </cell>
          <cell r="M103">
            <v>3.3341205818409363</v>
          </cell>
          <cell r="N103">
            <v>19.858098734517469</v>
          </cell>
          <cell r="O103">
            <v>5.1801005344344349</v>
          </cell>
          <cell r="P103">
            <v>7.8905909888011978</v>
          </cell>
          <cell r="Q103">
            <v>3.220362976965284</v>
          </cell>
          <cell r="R103">
            <v>11.074901955201149</v>
          </cell>
          <cell r="S103">
            <v>1.4010276991980914</v>
          </cell>
          <cell r="T103">
            <v>19.503677534432796</v>
          </cell>
          <cell r="U103">
            <v>0.45771938643913362</v>
          </cell>
          <cell r="V103">
            <v>2.5146159123752296</v>
          </cell>
          <cell r="W103">
            <v>23.997133095586427</v>
          </cell>
          <cell r="X103">
            <v>10000000000</v>
          </cell>
          <cell r="Y103">
            <v>19.602687067844432</v>
          </cell>
        </row>
        <row r="104">
          <cell r="B104">
            <v>4.2891149525314205</v>
          </cell>
          <cell r="C104">
            <v>3.5129713319169067</v>
          </cell>
          <cell r="F104">
            <v>0.6224316769773488</v>
          </cell>
          <cell r="G104">
            <v>2.4459771398883272</v>
          </cell>
          <cell r="H104">
            <v>1.9210310512278346</v>
          </cell>
          <cell r="I104">
            <v>1.5463869696653068</v>
          </cell>
          <cell r="J104">
            <v>2.4684410694121133</v>
          </cell>
          <cell r="K104">
            <v>0.44929039475338473</v>
          </cell>
          <cell r="L104">
            <v>19.677474603893977</v>
          </cell>
          <cell r="M104">
            <v>23.999995473588122</v>
          </cell>
          <cell r="N104">
            <v>2.6659271204109016</v>
          </cell>
          <cell r="O104">
            <v>22.696528086884982</v>
          </cell>
          <cell r="P104">
            <v>5.622979758742586</v>
          </cell>
          <cell r="Q104">
            <v>8.3248644636364357</v>
          </cell>
          <cell r="R104">
            <v>1.4702919259119289</v>
          </cell>
          <cell r="S104">
            <v>14.973006696571419</v>
          </cell>
          <cell r="T104">
            <v>4.6687924832226516E-2</v>
          </cell>
          <cell r="U104">
            <v>20.195535184148106</v>
          </cell>
          <cell r="V104">
            <v>18.478629797010456</v>
          </cell>
          <cell r="W104">
            <v>1.2040873461134995</v>
          </cell>
          <cell r="X104">
            <v>19.602687067844432</v>
          </cell>
          <cell r="Y104">
            <v>10000000000</v>
          </cell>
        </row>
        <row r="109">
          <cell r="F109">
            <v>1</v>
          </cell>
          <cell r="G109">
            <v>267</v>
          </cell>
          <cell r="H109">
            <v>311</v>
          </cell>
          <cell r="I109">
            <v>305</v>
          </cell>
          <cell r="J109">
            <v>287</v>
          </cell>
          <cell r="K109">
            <v>355</v>
          </cell>
          <cell r="L109">
            <v>51</v>
          </cell>
          <cell r="M109">
            <v>23</v>
          </cell>
          <cell r="N109">
            <v>279</v>
          </cell>
          <cell r="O109">
            <v>35</v>
          </cell>
          <cell r="P109">
            <v>197</v>
          </cell>
          <cell r="Q109">
            <v>163</v>
          </cell>
          <cell r="R109">
            <v>261</v>
          </cell>
          <cell r="S109">
            <v>89</v>
          </cell>
          <cell r="T109">
            <v>353</v>
          </cell>
          <cell r="U109">
            <v>49</v>
          </cell>
          <cell r="V109">
            <v>65</v>
          </cell>
          <cell r="W109">
            <v>345</v>
          </cell>
          <cell r="X109">
            <v>53</v>
          </cell>
          <cell r="Y109">
            <v>351</v>
          </cell>
        </row>
        <row r="110">
          <cell r="F110">
            <v>267</v>
          </cell>
          <cell r="G110">
            <v>1</v>
          </cell>
          <cell r="H110">
            <v>341</v>
          </cell>
          <cell r="I110">
            <v>369</v>
          </cell>
          <cell r="J110">
            <v>361</v>
          </cell>
          <cell r="K110">
            <v>323</v>
          </cell>
          <cell r="L110">
            <v>123</v>
          </cell>
          <cell r="M110">
            <v>69</v>
          </cell>
          <cell r="N110">
            <v>377</v>
          </cell>
          <cell r="O110">
            <v>61</v>
          </cell>
          <cell r="P110">
            <v>207</v>
          </cell>
          <cell r="Q110">
            <v>253</v>
          </cell>
          <cell r="R110">
            <v>269</v>
          </cell>
          <cell r="S110">
            <v>155</v>
          </cell>
          <cell r="T110">
            <v>301</v>
          </cell>
          <cell r="U110">
            <v>159</v>
          </cell>
          <cell r="V110">
            <v>187</v>
          </cell>
          <cell r="W110">
            <v>325</v>
          </cell>
          <cell r="X110">
            <v>147</v>
          </cell>
          <cell r="Y110">
            <v>293</v>
          </cell>
        </row>
        <row r="111">
          <cell r="F111">
            <v>311</v>
          </cell>
          <cell r="G111">
            <v>341</v>
          </cell>
          <cell r="H111">
            <v>1</v>
          </cell>
          <cell r="I111">
            <v>393</v>
          </cell>
          <cell r="J111">
            <v>391</v>
          </cell>
          <cell r="K111">
            <v>357</v>
          </cell>
          <cell r="L111">
            <v>57</v>
          </cell>
          <cell r="M111">
            <v>21</v>
          </cell>
          <cell r="N111">
            <v>381</v>
          </cell>
          <cell r="O111">
            <v>27</v>
          </cell>
          <cell r="P111">
            <v>173</v>
          </cell>
          <cell r="Q111">
            <v>201</v>
          </cell>
          <cell r="R111">
            <v>249</v>
          </cell>
          <cell r="S111">
            <v>99</v>
          </cell>
          <cell r="T111">
            <v>327</v>
          </cell>
          <cell r="U111">
            <v>87</v>
          </cell>
          <cell r="V111">
            <v>141</v>
          </cell>
          <cell r="W111">
            <v>389</v>
          </cell>
          <cell r="X111">
            <v>83</v>
          </cell>
          <cell r="Y111">
            <v>299</v>
          </cell>
        </row>
        <row r="112">
          <cell r="F112">
            <v>305</v>
          </cell>
          <cell r="G112">
            <v>369</v>
          </cell>
          <cell r="H112">
            <v>393</v>
          </cell>
          <cell r="I112">
            <v>1</v>
          </cell>
          <cell r="J112">
            <v>395</v>
          </cell>
          <cell r="K112">
            <v>367</v>
          </cell>
          <cell r="L112">
            <v>77</v>
          </cell>
          <cell r="M112">
            <v>41</v>
          </cell>
          <cell r="N112">
            <v>387</v>
          </cell>
          <cell r="O112">
            <v>43</v>
          </cell>
          <cell r="P112">
            <v>195</v>
          </cell>
          <cell r="Q112">
            <v>221</v>
          </cell>
          <cell r="R112">
            <v>265</v>
          </cell>
          <cell r="S112">
            <v>137</v>
          </cell>
          <cell r="T112">
            <v>335</v>
          </cell>
          <cell r="U112">
            <v>125</v>
          </cell>
          <cell r="V112">
            <v>145</v>
          </cell>
          <cell r="W112">
            <v>379</v>
          </cell>
          <cell r="X112">
            <v>105</v>
          </cell>
          <cell r="Y112">
            <v>315</v>
          </cell>
        </row>
        <row r="113">
          <cell r="F113">
            <v>287</v>
          </cell>
          <cell r="G113">
            <v>361</v>
          </cell>
          <cell r="H113">
            <v>391</v>
          </cell>
          <cell r="I113">
            <v>395</v>
          </cell>
          <cell r="J113">
            <v>1</v>
          </cell>
          <cell r="K113">
            <v>337</v>
          </cell>
          <cell r="L113">
            <v>59</v>
          </cell>
          <cell r="M113">
            <v>33</v>
          </cell>
          <cell r="N113">
            <v>399</v>
          </cell>
          <cell r="O113">
            <v>31</v>
          </cell>
          <cell r="P113">
            <v>175</v>
          </cell>
          <cell r="Q113">
            <v>219</v>
          </cell>
          <cell r="R113">
            <v>245</v>
          </cell>
          <cell r="S113">
            <v>117</v>
          </cell>
          <cell r="T113">
            <v>307</v>
          </cell>
          <cell r="U113">
            <v>121</v>
          </cell>
          <cell r="V113">
            <v>149</v>
          </cell>
          <cell r="W113">
            <v>359</v>
          </cell>
          <cell r="X113">
            <v>95</v>
          </cell>
          <cell r="Y113">
            <v>291</v>
          </cell>
        </row>
        <row r="114">
          <cell r="F114">
            <v>355</v>
          </cell>
          <cell r="G114">
            <v>323</v>
          </cell>
          <cell r="H114">
            <v>357</v>
          </cell>
          <cell r="I114">
            <v>367</v>
          </cell>
          <cell r="J114">
            <v>337</v>
          </cell>
          <cell r="K114">
            <v>1</v>
          </cell>
          <cell r="L114">
            <v>79</v>
          </cell>
          <cell r="M114">
            <v>45</v>
          </cell>
          <cell r="N114">
            <v>333</v>
          </cell>
          <cell r="O114">
            <v>47</v>
          </cell>
          <cell r="P114">
            <v>209</v>
          </cell>
          <cell r="Q114">
            <v>203</v>
          </cell>
          <cell r="R114">
            <v>281</v>
          </cell>
          <cell r="S114">
            <v>135</v>
          </cell>
          <cell r="T114">
            <v>383</v>
          </cell>
          <cell r="U114">
            <v>93</v>
          </cell>
          <cell r="V114">
            <v>131</v>
          </cell>
          <cell r="W114">
            <v>385</v>
          </cell>
          <cell r="X114">
            <v>91</v>
          </cell>
          <cell r="Y114">
            <v>365</v>
          </cell>
        </row>
        <row r="115">
          <cell r="F115">
            <v>51</v>
          </cell>
          <cell r="G115">
            <v>123</v>
          </cell>
          <cell r="H115">
            <v>57</v>
          </cell>
          <cell r="I115">
            <v>77</v>
          </cell>
          <cell r="J115">
            <v>59</v>
          </cell>
          <cell r="K115">
            <v>79</v>
          </cell>
          <cell r="L115">
            <v>1</v>
          </cell>
          <cell r="M115">
            <v>373</v>
          </cell>
          <cell r="N115">
            <v>67</v>
          </cell>
          <cell r="O115">
            <v>343</v>
          </cell>
          <cell r="P115">
            <v>243</v>
          </cell>
          <cell r="Q115">
            <v>229</v>
          </cell>
          <cell r="R115">
            <v>189</v>
          </cell>
          <cell r="S115">
            <v>371</v>
          </cell>
          <cell r="T115">
            <v>103</v>
          </cell>
          <cell r="U115">
            <v>259</v>
          </cell>
          <cell r="V115">
            <v>213</v>
          </cell>
          <cell r="W115">
            <v>55</v>
          </cell>
          <cell r="X115">
            <v>309</v>
          </cell>
          <cell r="Y115">
            <v>111</v>
          </cell>
        </row>
        <row r="116">
          <cell r="F116">
            <v>23</v>
          </cell>
          <cell r="G116">
            <v>69</v>
          </cell>
          <cell r="H116">
            <v>21</v>
          </cell>
          <cell r="I116">
            <v>41</v>
          </cell>
          <cell r="J116">
            <v>33</v>
          </cell>
          <cell r="K116">
            <v>45</v>
          </cell>
          <cell r="L116">
            <v>373</v>
          </cell>
          <cell r="M116">
            <v>1</v>
          </cell>
          <cell r="N116">
            <v>39</v>
          </cell>
          <cell r="O116">
            <v>375</v>
          </cell>
          <cell r="P116">
            <v>227</v>
          </cell>
          <cell r="Q116">
            <v>199</v>
          </cell>
          <cell r="R116">
            <v>161</v>
          </cell>
          <cell r="S116">
            <v>329</v>
          </cell>
          <cell r="T116">
            <v>63</v>
          </cell>
          <cell r="U116">
            <v>233</v>
          </cell>
          <cell r="V116">
            <v>179</v>
          </cell>
          <cell r="W116">
            <v>25</v>
          </cell>
          <cell r="X116">
            <v>273</v>
          </cell>
          <cell r="Y116">
            <v>71</v>
          </cell>
        </row>
        <row r="117">
          <cell r="F117">
            <v>279</v>
          </cell>
          <cell r="G117">
            <v>377</v>
          </cell>
          <cell r="H117">
            <v>381</v>
          </cell>
          <cell r="I117">
            <v>387</v>
          </cell>
          <cell r="J117">
            <v>399</v>
          </cell>
          <cell r="K117">
            <v>333</v>
          </cell>
          <cell r="L117">
            <v>67</v>
          </cell>
          <cell r="M117">
            <v>39</v>
          </cell>
          <cell r="N117">
            <v>1</v>
          </cell>
          <cell r="O117">
            <v>37</v>
          </cell>
          <cell r="P117">
            <v>177</v>
          </cell>
          <cell r="Q117">
            <v>225</v>
          </cell>
          <cell r="R117">
            <v>251</v>
          </cell>
          <cell r="S117">
            <v>127</v>
          </cell>
          <cell r="T117">
            <v>297</v>
          </cell>
          <cell r="U117">
            <v>133</v>
          </cell>
          <cell r="V117">
            <v>157</v>
          </cell>
          <cell r="W117">
            <v>349</v>
          </cell>
          <cell r="X117">
            <v>107</v>
          </cell>
          <cell r="Y117">
            <v>285</v>
          </cell>
        </row>
        <row r="118">
          <cell r="F118">
            <v>35</v>
          </cell>
          <cell r="G118">
            <v>61</v>
          </cell>
          <cell r="H118">
            <v>27</v>
          </cell>
          <cell r="I118">
            <v>43</v>
          </cell>
          <cell r="J118">
            <v>31</v>
          </cell>
          <cell r="K118">
            <v>47</v>
          </cell>
          <cell r="L118">
            <v>343</v>
          </cell>
          <cell r="M118">
            <v>375</v>
          </cell>
          <cell r="N118">
            <v>37</v>
          </cell>
          <cell r="O118">
            <v>1</v>
          </cell>
          <cell r="P118">
            <v>237</v>
          </cell>
          <cell r="Q118">
            <v>185</v>
          </cell>
          <cell r="R118">
            <v>165</v>
          </cell>
          <cell r="S118">
            <v>303</v>
          </cell>
          <cell r="T118">
            <v>75</v>
          </cell>
          <cell r="U118">
            <v>205</v>
          </cell>
          <cell r="V118">
            <v>153</v>
          </cell>
          <cell r="W118">
            <v>29</v>
          </cell>
          <cell r="X118">
            <v>241</v>
          </cell>
          <cell r="Y118">
            <v>85</v>
          </cell>
        </row>
        <row r="119">
          <cell r="F119">
            <v>197</v>
          </cell>
          <cell r="G119">
            <v>207</v>
          </cell>
          <cell r="H119">
            <v>173</v>
          </cell>
          <cell r="I119">
            <v>195</v>
          </cell>
          <cell r="J119">
            <v>175</v>
          </cell>
          <cell r="K119">
            <v>209</v>
          </cell>
          <cell r="L119">
            <v>243</v>
          </cell>
          <cell r="M119">
            <v>227</v>
          </cell>
          <cell r="N119">
            <v>177</v>
          </cell>
          <cell r="O119">
            <v>237</v>
          </cell>
          <cell r="P119">
            <v>1</v>
          </cell>
          <cell r="Q119">
            <v>247</v>
          </cell>
          <cell r="R119">
            <v>317</v>
          </cell>
          <cell r="S119">
            <v>271</v>
          </cell>
          <cell r="T119">
            <v>235</v>
          </cell>
          <cell r="U119">
            <v>191</v>
          </cell>
          <cell r="V119">
            <v>167</v>
          </cell>
          <cell r="W119">
            <v>183</v>
          </cell>
          <cell r="X119">
            <v>217</v>
          </cell>
          <cell r="Y119">
            <v>239</v>
          </cell>
        </row>
        <row r="120">
          <cell r="F120">
            <v>163</v>
          </cell>
          <cell r="G120">
            <v>253</v>
          </cell>
          <cell r="H120">
            <v>201</v>
          </cell>
          <cell r="I120">
            <v>221</v>
          </cell>
          <cell r="J120">
            <v>219</v>
          </cell>
          <cell r="K120">
            <v>203</v>
          </cell>
          <cell r="L120">
            <v>229</v>
          </cell>
          <cell r="M120">
            <v>199</v>
          </cell>
          <cell r="N120">
            <v>225</v>
          </cell>
          <cell r="O120">
            <v>185</v>
          </cell>
          <cell r="P120">
            <v>247</v>
          </cell>
          <cell r="Q120">
            <v>1</v>
          </cell>
          <cell r="R120">
            <v>257</v>
          </cell>
          <cell r="S120">
            <v>263</v>
          </cell>
          <cell r="T120">
            <v>215</v>
          </cell>
          <cell r="U120">
            <v>283</v>
          </cell>
          <cell r="V120">
            <v>295</v>
          </cell>
          <cell r="W120">
            <v>193</v>
          </cell>
          <cell r="X120">
            <v>275</v>
          </cell>
          <cell r="Y120">
            <v>211</v>
          </cell>
        </row>
        <row r="121">
          <cell r="F121">
            <v>261</v>
          </cell>
          <cell r="G121">
            <v>269</v>
          </cell>
          <cell r="H121">
            <v>249</v>
          </cell>
          <cell r="I121">
            <v>265</v>
          </cell>
          <cell r="J121">
            <v>245</v>
          </cell>
          <cell r="K121">
            <v>281</v>
          </cell>
          <cell r="L121">
            <v>189</v>
          </cell>
          <cell r="M121">
            <v>161</v>
          </cell>
          <cell r="N121">
            <v>251</v>
          </cell>
          <cell r="O121">
            <v>165</v>
          </cell>
          <cell r="P121">
            <v>317</v>
          </cell>
          <cell r="Q121">
            <v>257</v>
          </cell>
          <cell r="R121">
            <v>1</v>
          </cell>
          <cell r="S121">
            <v>223</v>
          </cell>
          <cell r="T121">
            <v>313</v>
          </cell>
          <cell r="U121">
            <v>171</v>
          </cell>
          <cell r="V121">
            <v>169</v>
          </cell>
          <cell r="W121">
            <v>255</v>
          </cell>
          <cell r="X121">
            <v>181</v>
          </cell>
          <cell r="Y121">
            <v>319</v>
          </cell>
        </row>
        <row r="122">
          <cell r="F122">
            <v>89</v>
          </cell>
          <cell r="G122">
            <v>155</v>
          </cell>
          <cell r="H122">
            <v>99</v>
          </cell>
          <cell r="I122">
            <v>137</v>
          </cell>
          <cell r="J122">
            <v>117</v>
          </cell>
          <cell r="K122">
            <v>135</v>
          </cell>
          <cell r="L122">
            <v>371</v>
          </cell>
          <cell r="M122">
            <v>329</v>
          </cell>
          <cell r="N122">
            <v>127</v>
          </cell>
          <cell r="O122">
            <v>303</v>
          </cell>
          <cell r="P122">
            <v>271</v>
          </cell>
          <cell r="Q122">
            <v>263</v>
          </cell>
          <cell r="R122">
            <v>223</v>
          </cell>
          <cell r="S122">
            <v>1</v>
          </cell>
          <cell r="T122">
            <v>143</v>
          </cell>
          <cell r="U122">
            <v>277</v>
          </cell>
          <cell r="V122">
            <v>231</v>
          </cell>
          <cell r="W122">
            <v>97</v>
          </cell>
          <cell r="X122">
            <v>321</v>
          </cell>
          <cell r="Y122">
            <v>151</v>
          </cell>
        </row>
        <row r="123">
          <cell r="F123">
            <v>353</v>
          </cell>
          <cell r="G123">
            <v>301</v>
          </cell>
          <cell r="H123">
            <v>327</v>
          </cell>
          <cell r="I123">
            <v>335</v>
          </cell>
          <cell r="J123">
            <v>307</v>
          </cell>
          <cell r="K123">
            <v>383</v>
          </cell>
          <cell r="L123">
            <v>103</v>
          </cell>
          <cell r="M123">
            <v>63</v>
          </cell>
          <cell r="N123">
            <v>297</v>
          </cell>
          <cell r="O123">
            <v>75</v>
          </cell>
          <cell r="P123">
            <v>235</v>
          </cell>
          <cell r="Q123">
            <v>215</v>
          </cell>
          <cell r="R123">
            <v>313</v>
          </cell>
          <cell r="S123">
            <v>143</v>
          </cell>
          <cell r="T123">
            <v>1</v>
          </cell>
          <cell r="U123">
            <v>109</v>
          </cell>
          <cell r="V123">
            <v>139</v>
          </cell>
          <cell r="W123">
            <v>347</v>
          </cell>
          <cell r="X123">
            <v>115</v>
          </cell>
          <cell r="Y123">
            <v>397</v>
          </cell>
        </row>
        <row r="124">
          <cell r="F124">
            <v>49</v>
          </cell>
          <cell r="G124">
            <v>159</v>
          </cell>
          <cell r="H124">
            <v>87</v>
          </cell>
          <cell r="I124">
            <v>125</v>
          </cell>
          <cell r="J124">
            <v>121</v>
          </cell>
          <cell r="K124">
            <v>93</v>
          </cell>
          <cell r="L124">
            <v>259</v>
          </cell>
          <cell r="M124">
            <v>233</v>
          </cell>
          <cell r="N124">
            <v>133</v>
          </cell>
          <cell r="O124">
            <v>205</v>
          </cell>
          <cell r="P124">
            <v>191</v>
          </cell>
          <cell r="Q124">
            <v>283</v>
          </cell>
          <cell r="R124">
            <v>171</v>
          </cell>
          <cell r="S124">
            <v>277</v>
          </cell>
          <cell r="T124">
            <v>109</v>
          </cell>
          <cell r="U124">
            <v>1</v>
          </cell>
          <cell r="V124">
            <v>339</v>
          </cell>
          <cell r="W124">
            <v>81</v>
          </cell>
          <cell r="X124">
            <v>363</v>
          </cell>
          <cell r="Y124">
            <v>101</v>
          </cell>
        </row>
        <row r="125">
          <cell r="F125">
            <v>65</v>
          </cell>
          <cell r="G125">
            <v>187</v>
          </cell>
          <cell r="H125">
            <v>141</v>
          </cell>
          <cell r="I125">
            <v>145</v>
          </cell>
          <cell r="J125">
            <v>149</v>
          </cell>
          <cell r="K125">
            <v>131</v>
          </cell>
          <cell r="L125">
            <v>213</v>
          </cell>
          <cell r="M125">
            <v>179</v>
          </cell>
          <cell r="N125">
            <v>157</v>
          </cell>
          <cell r="O125">
            <v>153</v>
          </cell>
          <cell r="P125">
            <v>167</v>
          </cell>
          <cell r="Q125">
            <v>295</v>
          </cell>
          <cell r="R125">
            <v>169</v>
          </cell>
          <cell r="S125">
            <v>231</v>
          </cell>
          <cell r="T125">
            <v>139</v>
          </cell>
          <cell r="U125">
            <v>339</v>
          </cell>
          <cell r="V125">
            <v>1</v>
          </cell>
          <cell r="W125">
            <v>119</v>
          </cell>
          <cell r="X125">
            <v>289</v>
          </cell>
          <cell r="Y125">
            <v>129</v>
          </cell>
        </row>
        <row r="126">
          <cell r="F126">
            <v>345</v>
          </cell>
          <cell r="G126">
            <v>325</v>
          </cell>
          <cell r="H126">
            <v>389</v>
          </cell>
          <cell r="I126">
            <v>379</v>
          </cell>
          <cell r="J126">
            <v>359</v>
          </cell>
          <cell r="K126">
            <v>385</v>
          </cell>
          <cell r="L126">
            <v>55</v>
          </cell>
          <cell r="M126">
            <v>25</v>
          </cell>
          <cell r="N126">
            <v>349</v>
          </cell>
          <cell r="O126">
            <v>29</v>
          </cell>
          <cell r="P126">
            <v>183</v>
          </cell>
          <cell r="Q126">
            <v>193</v>
          </cell>
          <cell r="R126">
            <v>255</v>
          </cell>
          <cell r="S126">
            <v>97</v>
          </cell>
          <cell r="T126">
            <v>347</v>
          </cell>
          <cell r="U126">
            <v>81</v>
          </cell>
          <cell r="V126">
            <v>119</v>
          </cell>
          <cell r="W126">
            <v>1</v>
          </cell>
          <cell r="X126">
            <v>73</v>
          </cell>
          <cell r="Y126">
            <v>331</v>
          </cell>
        </row>
        <row r="127">
          <cell r="F127">
            <v>53</v>
          </cell>
          <cell r="G127">
            <v>147</v>
          </cell>
          <cell r="H127">
            <v>83</v>
          </cell>
          <cell r="I127">
            <v>105</v>
          </cell>
          <cell r="J127">
            <v>95</v>
          </cell>
          <cell r="K127">
            <v>91</v>
          </cell>
          <cell r="L127">
            <v>309</v>
          </cell>
          <cell r="M127">
            <v>273</v>
          </cell>
          <cell r="N127">
            <v>107</v>
          </cell>
          <cell r="O127">
            <v>241</v>
          </cell>
          <cell r="P127">
            <v>217</v>
          </cell>
          <cell r="Q127">
            <v>275</v>
          </cell>
          <cell r="R127">
            <v>181</v>
          </cell>
          <cell r="S127">
            <v>321</v>
          </cell>
          <cell r="T127">
            <v>115</v>
          </cell>
          <cell r="U127">
            <v>363</v>
          </cell>
          <cell r="V127">
            <v>289</v>
          </cell>
          <cell r="W127">
            <v>73</v>
          </cell>
          <cell r="X127">
            <v>1</v>
          </cell>
          <cell r="Y127">
            <v>113</v>
          </cell>
        </row>
        <row r="128">
          <cell r="F128">
            <v>351</v>
          </cell>
          <cell r="G128">
            <v>293</v>
          </cell>
          <cell r="H128">
            <v>299</v>
          </cell>
          <cell r="I128">
            <v>315</v>
          </cell>
          <cell r="J128">
            <v>291</v>
          </cell>
          <cell r="K128">
            <v>365</v>
          </cell>
          <cell r="L128">
            <v>111</v>
          </cell>
          <cell r="M128">
            <v>71</v>
          </cell>
          <cell r="N128">
            <v>285</v>
          </cell>
          <cell r="O128">
            <v>85</v>
          </cell>
          <cell r="P128">
            <v>239</v>
          </cell>
          <cell r="Q128">
            <v>211</v>
          </cell>
          <cell r="R128">
            <v>319</v>
          </cell>
          <cell r="S128">
            <v>151</v>
          </cell>
          <cell r="T128">
            <v>397</v>
          </cell>
          <cell r="U128">
            <v>101</v>
          </cell>
          <cell r="V128">
            <v>129</v>
          </cell>
          <cell r="W128">
            <v>331</v>
          </cell>
          <cell r="X128">
            <v>113</v>
          </cell>
          <cell r="Y128">
            <v>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model"/>
      <sheetName val="growing margins"/>
      <sheetName val="CLV Explanation"/>
      <sheetName val="CLV Sensitivity Analysis"/>
      <sheetName val="Sheet3"/>
    </sheetNames>
    <sheetDataSet>
      <sheetData sheetId="0">
        <row r="1">
          <cell r="B1">
            <v>0.1</v>
          </cell>
        </row>
        <row r="2">
          <cell r="B2">
            <v>0.8</v>
          </cell>
        </row>
        <row r="3">
          <cell r="H3" t="str">
            <v>end</v>
          </cell>
          <cell r="I3">
            <v>0</v>
          </cell>
        </row>
        <row r="4">
          <cell r="H4" t="str">
            <v>beginning</v>
          </cell>
          <cell r="I4">
            <v>1</v>
          </cell>
        </row>
        <row r="5">
          <cell r="H5" t="str">
            <v>middle</v>
          </cell>
          <cell r="I5">
            <v>0.5</v>
          </cell>
        </row>
      </sheetData>
      <sheetData sheetId="1">
        <row r="3">
          <cell r="G3">
            <v>1</v>
          </cell>
        </row>
        <row r="4">
          <cell r="G4">
            <v>1.5</v>
          </cell>
          <cell r="I4">
            <v>0.23099999999999998</v>
          </cell>
        </row>
        <row r="5">
          <cell r="G5">
            <v>3</v>
          </cell>
        </row>
      </sheetData>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S"/>
      <sheetName val="Ideal Point"/>
      <sheetName val="Sheet2"/>
      <sheetName val="Sheet3"/>
      <sheetName val="Rhiney Brand - MDS Analysis"/>
      <sheetName val="Attribute - MDS Analysis"/>
    </sheetNames>
    <sheetDataSet>
      <sheetData sheetId="0">
        <row r="5">
          <cell r="C5">
            <v>6.7089097436552274</v>
          </cell>
          <cell r="D5">
            <v>9.7654588150414803</v>
          </cell>
          <cell r="G5">
            <v>0</v>
          </cell>
          <cell r="H5">
            <v>2</v>
          </cell>
          <cell r="I5">
            <v>45</v>
          </cell>
          <cell r="J5">
            <v>30</v>
          </cell>
          <cell r="K5">
            <v>16</v>
          </cell>
          <cell r="L5">
            <v>5</v>
          </cell>
          <cell r="M5">
            <v>21</v>
          </cell>
          <cell r="N5">
            <v>1</v>
          </cell>
          <cell r="O5">
            <v>31</v>
          </cell>
          <cell r="P5">
            <v>40</v>
          </cell>
        </row>
        <row r="6">
          <cell r="C6">
            <v>6.8534173486237089</v>
          </cell>
          <cell r="D6">
            <v>9.70789491499829</v>
          </cell>
          <cell r="G6">
            <v>2</v>
          </cell>
          <cell r="H6">
            <v>0</v>
          </cell>
          <cell r="I6">
            <v>43</v>
          </cell>
          <cell r="J6">
            <v>32</v>
          </cell>
          <cell r="K6">
            <v>18</v>
          </cell>
          <cell r="L6">
            <v>6</v>
          </cell>
          <cell r="M6">
            <v>24</v>
          </cell>
          <cell r="N6">
            <v>3</v>
          </cell>
          <cell r="O6">
            <v>28</v>
          </cell>
          <cell r="P6">
            <v>42</v>
          </cell>
        </row>
        <row r="7">
          <cell r="C7">
            <v>5.4128198946510011</v>
          </cell>
          <cell r="D7">
            <v>9.3799124036114373E-2</v>
          </cell>
          <cell r="G7">
            <v>45</v>
          </cell>
          <cell r="H7">
            <v>43</v>
          </cell>
          <cell r="I7">
            <v>0</v>
          </cell>
          <cell r="J7">
            <v>17</v>
          </cell>
          <cell r="K7">
            <v>22</v>
          </cell>
          <cell r="L7">
            <v>33</v>
          </cell>
          <cell r="M7">
            <v>35</v>
          </cell>
          <cell r="N7">
            <v>41</v>
          </cell>
          <cell r="O7">
            <v>8</v>
          </cell>
          <cell r="P7">
            <v>9</v>
          </cell>
        </row>
        <row r="8">
          <cell r="C8">
            <v>1.4594658067940303</v>
          </cell>
          <cell r="D8">
            <v>3.3280215969298554</v>
          </cell>
          <cell r="G8">
            <v>30</v>
          </cell>
          <cell r="H8">
            <v>32</v>
          </cell>
          <cell r="I8">
            <v>17</v>
          </cell>
          <cell r="J8">
            <v>0</v>
          </cell>
          <cell r="K8">
            <v>25</v>
          </cell>
          <cell r="L8">
            <v>38</v>
          </cell>
          <cell r="M8">
            <v>14</v>
          </cell>
          <cell r="N8">
            <v>44</v>
          </cell>
          <cell r="O8">
            <v>10</v>
          </cell>
          <cell r="P8">
            <v>15</v>
          </cell>
        </row>
        <row r="9">
          <cell r="C9">
            <v>7.1412223086887572</v>
          </cell>
          <cell r="D9">
            <v>5.8372740302994899</v>
          </cell>
          <cell r="G9">
            <v>16</v>
          </cell>
          <cell r="H9">
            <v>18</v>
          </cell>
          <cell r="I9">
            <v>22</v>
          </cell>
          <cell r="J9">
            <v>25</v>
          </cell>
          <cell r="K9">
            <v>0</v>
          </cell>
          <cell r="L9">
            <v>7</v>
          </cell>
          <cell r="M9">
            <v>29</v>
          </cell>
          <cell r="N9">
            <v>11</v>
          </cell>
          <cell r="O9">
            <v>13</v>
          </cell>
          <cell r="P9">
            <v>27</v>
          </cell>
        </row>
        <row r="10">
          <cell r="C10">
            <v>6.7286485052642249</v>
          </cell>
          <cell r="D10">
            <v>8.4629555047001173</v>
          </cell>
          <cell r="G10">
            <v>5</v>
          </cell>
          <cell r="H10">
            <v>6</v>
          </cell>
          <cell r="I10">
            <v>33</v>
          </cell>
          <cell r="J10">
            <v>38</v>
          </cell>
          <cell r="K10">
            <v>7</v>
          </cell>
          <cell r="L10">
            <v>0</v>
          </cell>
          <cell r="M10">
            <v>20</v>
          </cell>
          <cell r="N10">
            <v>4</v>
          </cell>
          <cell r="O10">
            <v>19</v>
          </cell>
          <cell r="P10">
            <v>36</v>
          </cell>
        </row>
        <row r="11">
          <cell r="C11">
            <v>0.9967653819854374</v>
          </cell>
          <cell r="D11">
            <v>8.3771549263647014</v>
          </cell>
          <cell r="G11">
            <v>21</v>
          </cell>
          <cell r="H11">
            <v>24</v>
          </cell>
          <cell r="I11">
            <v>35</v>
          </cell>
          <cell r="J11">
            <v>14</v>
          </cell>
          <cell r="K11">
            <v>29</v>
          </cell>
          <cell r="L11">
            <v>20</v>
          </cell>
          <cell r="M11">
            <v>0</v>
          </cell>
          <cell r="N11">
            <v>26</v>
          </cell>
          <cell r="O11">
            <v>23</v>
          </cell>
          <cell r="P11">
            <v>37</v>
          </cell>
        </row>
        <row r="12">
          <cell r="C12">
            <v>7.374803615098263</v>
          </cell>
          <cell r="D12">
            <v>9.5123762568798487</v>
          </cell>
          <cell r="G12">
            <v>1</v>
          </cell>
          <cell r="H12">
            <v>3</v>
          </cell>
          <cell r="I12">
            <v>41</v>
          </cell>
          <cell r="J12">
            <v>44</v>
          </cell>
          <cell r="K12">
            <v>11</v>
          </cell>
          <cell r="L12">
            <v>4</v>
          </cell>
          <cell r="M12">
            <v>26</v>
          </cell>
          <cell r="N12">
            <v>0</v>
          </cell>
          <cell r="O12">
            <v>34</v>
          </cell>
          <cell r="P12">
            <v>39</v>
          </cell>
        </row>
        <row r="13">
          <cell r="C13">
            <v>4.2610070844502879</v>
          </cell>
          <cell r="D13">
            <v>3.3366274144305499</v>
          </cell>
          <cell r="G13">
            <v>31</v>
          </cell>
          <cell r="H13">
            <v>28</v>
          </cell>
          <cell r="I13">
            <v>8</v>
          </cell>
          <cell r="J13">
            <v>10</v>
          </cell>
          <cell r="K13">
            <v>13</v>
          </cell>
          <cell r="L13">
            <v>19</v>
          </cell>
          <cell r="M13">
            <v>23</v>
          </cell>
          <cell r="N13">
            <v>34</v>
          </cell>
          <cell r="O13">
            <v>0</v>
          </cell>
          <cell r="P13">
            <v>12</v>
          </cell>
        </row>
        <row r="14">
          <cell r="C14">
            <v>3.9983656647865895</v>
          </cell>
          <cell r="D14">
            <v>0.43932223223419831</v>
          </cell>
          <cell r="G14">
            <v>40</v>
          </cell>
          <cell r="H14">
            <v>42</v>
          </cell>
          <cell r="I14">
            <v>9</v>
          </cell>
          <cell r="J14">
            <v>15</v>
          </cell>
          <cell r="K14">
            <v>27</v>
          </cell>
          <cell r="L14">
            <v>36</v>
          </cell>
          <cell r="M14">
            <v>37</v>
          </cell>
          <cell r="N14">
            <v>39</v>
          </cell>
          <cell r="O14">
            <v>12</v>
          </cell>
          <cell r="P14">
            <v>0</v>
          </cell>
        </row>
        <row r="31">
          <cell r="G31">
            <v>0</v>
          </cell>
          <cell r="H31">
            <v>11</v>
          </cell>
          <cell r="I31">
            <v>99</v>
          </cell>
          <cell r="J31">
            <v>75</v>
          </cell>
          <cell r="K31">
            <v>41</v>
          </cell>
          <cell r="L31">
            <v>21</v>
          </cell>
          <cell r="M31">
            <v>51</v>
          </cell>
          <cell r="N31">
            <v>15</v>
          </cell>
          <cell r="O31">
            <v>69</v>
          </cell>
          <cell r="P31">
            <v>95</v>
          </cell>
        </row>
        <row r="32">
          <cell r="G32">
            <v>11</v>
          </cell>
          <cell r="H32">
            <v>0</v>
          </cell>
          <cell r="I32">
            <v>97</v>
          </cell>
          <cell r="J32">
            <v>77</v>
          </cell>
          <cell r="K32">
            <v>39</v>
          </cell>
          <cell r="L32">
            <v>19</v>
          </cell>
          <cell r="M32">
            <v>57</v>
          </cell>
          <cell r="N32">
            <v>13</v>
          </cell>
          <cell r="O32">
            <v>67</v>
          </cell>
          <cell r="P32">
            <v>93</v>
          </cell>
        </row>
        <row r="33">
          <cell r="G33">
            <v>99</v>
          </cell>
          <cell r="H33">
            <v>97</v>
          </cell>
          <cell r="I33">
            <v>0</v>
          </cell>
          <cell r="J33">
            <v>45</v>
          </cell>
          <cell r="K33">
            <v>53</v>
          </cell>
          <cell r="L33">
            <v>79</v>
          </cell>
          <cell r="M33">
            <v>87</v>
          </cell>
          <cell r="N33">
            <v>89</v>
          </cell>
          <cell r="O33">
            <v>31</v>
          </cell>
          <cell r="P33">
            <v>23</v>
          </cell>
        </row>
        <row r="34">
          <cell r="G34">
            <v>75</v>
          </cell>
          <cell r="H34">
            <v>77</v>
          </cell>
          <cell r="I34">
            <v>45</v>
          </cell>
          <cell r="J34">
            <v>0</v>
          </cell>
          <cell r="K34">
            <v>59</v>
          </cell>
          <cell r="L34">
            <v>73</v>
          </cell>
          <cell r="M34">
            <v>43</v>
          </cell>
          <cell r="N34">
            <v>85</v>
          </cell>
          <cell r="O34">
            <v>27</v>
          </cell>
          <cell r="P34">
            <v>37</v>
          </cell>
        </row>
        <row r="35">
          <cell r="G35">
            <v>41</v>
          </cell>
          <cell r="H35">
            <v>39</v>
          </cell>
          <cell r="I35">
            <v>53</v>
          </cell>
          <cell r="J35">
            <v>59</v>
          </cell>
          <cell r="K35">
            <v>0</v>
          </cell>
          <cell r="L35">
            <v>25</v>
          </cell>
          <cell r="M35">
            <v>65</v>
          </cell>
          <cell r="N35">
            <v>33</v>
          </cell>
          <cell r="O35">
            <v>35</v>
          </cell>
          <cell r="P35">
            <v>61</v>
          </cell>
        </row>
        <row r="36">
          <cell r="G36">
            <v>21</v>
          </cell>
          <cell r="H36">
            <v>19</v>
          </cell>
          <cell r="I36">
            <v>79</v>
          </cell>
          <cell r="J36">
            <v>73</v>
          </cell>
          <cell r="K36">
            <v>25</v>
          </cell>
          <cell r="L36">
            <v>0</v>
          </cell>
          <cell r="M36">
            <v>49</v>
          </cell>
          <cell r="N36">
            <v>17</v>
          </cell>
          <cell r="O36">
            <v>47</v>
          </cell>
          <cell r="P36">
            <v>81</v>
          </cell>
        </row>
        <row r="37">
          <cell r="G37">
            <v>51</v>
          </cell>
          <cell r="H37">
            <v>57</v>
          </cell>
          <cell r="I37">
            <v>87</v>
          </cell>
          <cell r="J37">
            <v>43</v>
          </cell>
          <cell r="K37">
            <v>65</v>
          </cell>
          <cell r="L37">
            <v>49</v>
          </cell>
          <cell r="M37">
            <v>0</v>
          </cell>
          <cell r="N37">
            <v>63</v>
          </cell>
          <cell r="O37">
            <v>55</v>
          </cell>
          <cell r="P37">
            <v>83</v>
          </cell>
        </row>
        <row r="38">
          <cell r="G38">
            <v>15</v>
          </cell>
          <cell r="H38">
            <v>13</v>
          </cell>
          <cell r="I38">
            <v>89</v>
          </cell>
          <cell r="J38">
            <v>85</v>
          </cell>
          <cell r="K38">
            <v>33</v>
          </cell>
          <cell r="L38">
            <v>17</v>
          </cell>
          <cell r="M38">
            <v>63</v>
          </cell>
          <cell r="N38">
            <v>0</v>
          </cell>
          <cell r="O38">
            <v>71</v>
          </cell>
          <cell r="P38">
            <v>91</v>
          </cell>
        </row>
        <row r="39">
          <cell r="G39">
            <v>69</v>
          </cell>
          <cell r="H39">
            <v>67</v>
          </cell>
          <cell r="I39">
            <v>31</v>
          </cell>
          <cell r="J39">
            <v>27</v>
          </cell>
          <cell r="K39">
            <v>35</v>
          </cell>
          <cell r="L39">
            <v>47</v>
          </cell>
          <cell r="M39">
            <v>55</v>
          </cell>
          <cell r="N39">
            <v>71</v>
          </cell>
          <cell r="O39">
            <v>0</v>
          </cell>
          <cell r="P39">
            <v>29</v>
          </cell>
        </row>
        <row r="40">
          <cell r="G40">
            <v>95</v>
          </cell>
          <cell r="H40">
            <v>93</v>
          </cell>
          <cell r="I40">
            <v>23</v>
          </cell>
          <cell r="J40">
            <v>37</v>
          </cell>
          <cell r="K40">
            <v>61</v>
          </cell>
          <cell r="L40">
            <v>81</v>
          </cell>
          <cell r="M40">
            <v>83</v>
          </cell>
          <cell r="N40">
            <v>91</v>
          </cell>
          <cell r="O40">
            <v>29</v>
          </cell>
          <cell r="P40">
            <v>0</v>
          </cell>
        </row>
      </sheetData>
      <sheetData sheetId="1"/>
      <sheetData sheetId="2"/>
      <sheetData sheetId="3"/>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rojectsh"/>
      <sheetName val="magazine"/>
      <sheetName val="prod assess"/>
      <sheetName val="nfl2000"/>
      <sheetName val="prod_assess"/>
    </sheetNames>
    <sheetDataSet>
      <sheetData sheetId="0" refreshError="1"/>
      <sheetData sheetId="1" refreshError="1"/>
      <sheetData sheetId="2" refreshError="1"/>
      <sheetData sheetId="3" refreshError="1"/>
      <sheetData sheetId="4" refreshError="1">
        <row r="3">
          <cell r="L3">
            <v>1</v>
          </cell>
          <cell r="M3">
            <v>-14.352484862369227</v>
          </cell>
        </row>
        <row r="4">
          <cell r="L4">
            <v>2</v>
          </cell>
          <cell r="M4">
            <v>-8.7853353956698221</v>
          </cell>
        </row>
        <row r="5">
          <cell r="L5">
            <v>3</v>
          </cell>
          <cell r="M5">
            <v>10.913016656926613</v>
          </cell>
        </row>
        <row r="6">
          <cell r="L6">
            <v>4</v>
          </cell>
          <cell r="M6">
            <v>-0.81272888719172331</v>
          </cell>
        </row>
        <row r="7">
          <cell r="L7">
            <v>5</v>
          </cell>
          <cell r="M7">
            <v>-1.4452872736473137</v>
          </cell>
        </row>
        <row r="8">
          <cell r="L8">
            <v>6</v>
          </cell>
          <cell r="M8">
            <v>-6.909113048180239</v>
          </cell>
        </row>
        <row r="9">
          <cell r="L9">
            <v>7</v>
          </cell>
          <cell r="M9">
            <v>-9.6943225371214403</v>
          </cell>
        </row>
        <row r="10">
          <cell r="L10">
            <v>8</v>
          </cell>
          <cell r="M10">
            <v>-13.623366561578802</v>
          </cell>
        </row>
        <row r="11">
          <cell r="L11">
            <v>9</v>
          </cell>
          <cell r="M11">
            <v>-3.7582022940405393</v>
          </cell>
        </row>
        <row r="12">
          <cell r="L12">
            <v>10</v>
          </cell>
          <cell r="M12">
            <v>4.3002027400792437</v>
          </cell>
        </row>
        <row r="13">
          <cell r="L13">
            <v>11</v>
          </cell>
          <cell r="M13">
            <v>0.77277898428308123</v>
          </cell>
        </row>
        <row r="14">
          <cell r="L14">
            <v>12</v>
          </cell>
          <cell r="M14">
            <v>1.7968895948381276</v>
          </cell>
        </row>
        <row r="15">
          <cell r="L15">
            <v>13</v>
          </cell>
          <cell r="M15">
            <v>6.9871105047289159</v>
          </cell>
        </row>
        <row r="16">
          <cell r="L16">
            <v>14</v>
          </cell>
          <cell r="M16">
            <v>2.1346916162285638</v>
          </cell>
        </row>
        <row r="17">
          <cell r="L17">
            <v>15</v>
          </cell>
          <cell r="M17">
            <v>0.24637242236172244</v>
          </cell>
        </row>
        <row r="18">
          <cell r="L18">
            <v>16</v>
          </cell>
          <cell r="M18">
            <v>5.6600479370024166</v>
          </cell>
        </row>
        <row r="19">
          <cell r="L19">
            <v>17</v>
          </cell>
          <cell r="M19">
            <v>0.15502028295797946</v>
          </cell>
        </row>
        <row r="20">
          <cell r="L20">
            <v>18</v>
          </cell>
          <cell r="M20">
            <v>-3.2083799310304308</v>
          </cell>
        </row>
        <row r="21">
          <cell r="L21">
            <v>19</v>
          </cell>
          <cell r="M21">
            <v>-6.2931455470478515E-2</v>
          </cell>
        </row>
        <row r="22">
          <cell r="L22">
            <v>20</v>
          </cell>
          <cell r="M22">
            <v>5.4255580567362509</v>
          </cell>
        </row>
        <row r="23">
          <cell r="L23">
            <v>21</v>
          </cell>
          <cell r="M23">
            <v>3.030651608432767</v>
          </cell>
        </row>
        <row r="24">
          <cell r="L24">
            <v>22</v>
          </cell>
          <cell r="M24">
            <v>9.7535502295923724</v>
          </cell>
        </row>
        <row r="25">
          <cell r="L25">
            <v>23</v>
          </cell>
          <cell r="M25">
            <v>4.4258019855110007</v>
          </cell>
        </row>
        <row r="26">
          <cell r="L26">
            <v>24</v>
          </cell>
          <cell r="M26">
            <v>4.9228019406395287</v>
          </cell>
        </row>
        <row r="27">
          <cell r="L27">
            <v>25</v>
          </cell>
          <cell r="M27">
            <v>2.6601895887099718</v>
          </cell>
        </row>
        <row r="28">
          <cell r="L28">
            <v>26</v>
          </cell>
          <cell r="M28">
            <v>-8.3161444589191049</v>
          </cell>
        </row>
        <row r="29">
          <cell r="L29">
            <v>27</v>
          </cell>
          <cell r="M29">
            <v>-4.1566039138895015</v>
          </cell>
        </row>
        <row r="30">
          <cell r="L30">
            <v>28</v>
          </cell>
          <cell r="M30">
            <v>-4.168517253623345</v>
          </cell>
        </row>
        <row r="31">
          <cell r="L31">
            <v>29</v>
          </cell>
          <cell r="M31">
            <v>5.6881738375008757</v>
          </cell>
        </row>
        <row r="32">
          <cell r="L32">
            <v>30</v>
          </cell>
          <cell r="M32">
            <v>8.5647780893898275</v>
          </cell>
        </row>
        <row r="33">
          <cell r="L33">
            <v>31</v>
          </cell>
          <cell r="M33">
            <v>1.8557817968136519</v>
          </cell>
        </row>
      </sheetData>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cy"/>
      <sheetName val="yen"/>
      <sheetName val="xbox"/>
      <sheetName val="SolverTableSheet"/>
    </sheetNames>
    <sheetDataSet>
      <sheetData sheetId="0">
        <row r="24">
          <cell r="B24">
            <v>0.1</v>
          </cell>
          <cell r="C24">
            <v>502.31791269261038</v>
          </cell>
          <cell r="D24">
            <v>17125.72238118837</v>
          </cell>
        </row>
        <row r="40">
          <cell r="B40">
            <v>1.0000007573040648E-2</v>
          </cell>
        </row>
        <row r="41">
          <cell r="B41">
            <v>9.9999847799665531E-3</v>
          </cell>
        </row>
        <row r="43">
          <cell r="B43">
            <v>8663.3547731327071</v>
          </cell>
        </row>
      </sheetData>
      <sheetData sheetId="1"/>
      <sheetData sheetId="2"/>
      <sheetData sheetId="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 val="Soap_A_&amp;_B"/>
      <sheetName val="Product_A_&amp;_B"/>
      <sheetName val="Multiple_Products"/>
      <sheetName val="Trend_&amp;_Seasonality"/>
      <sheetName val="Single_&amp;_Multiple_Pricing"/>
      <sheetName val="Point_Sheet"/>
    </sheetNames>
    <sheetDataSet>
      <sheetData sheetId="0"/>
      <sheetData sheetId="1"/>
      <sheetData sheetId="2"/>
      <sheetData sheetId="3"/>
      <sheetData sheetId="4"/>
      <sheetData sheetId="5"/>
      <sheetData sheetId="6"/>
      <sheetData sheetId="7">
        <row r="3">
          <cell r="M3">
            <v>1</v>
          </cell>
          <cell r="P3">
            <v>1</v>
          </cell>
          <cell r="Q3">
            <v>4</v>
          </cell>
        </row>
        <row r="4">
          <cell r="P4">
            <v>6</v>
          </cell>
          <cell r="Q4">
            <v>3</v>
          </cell>
        </row>
        <row r="5">
          <cell r="P5">
            <v>11</v>
          </cell>
          <cell r="Q5">
            <v>2</v>
          </cell>
        </row>
        <row r="6">
          <cell r="P6">
            <v>16</v>
          </cell>
          <cell r="Q6">
            <v>1</v>
          </cell>
        </row>
      </sheetData>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S Steps"/>
      <sheetName val="Brand Attributes MDS (Data)"/>
      <sheetName val="Soda Ch38e1 (data)"/>
      <sheetName val="Soda Ch38e1"/>
      <sheetName val="matrixnba (data)"/>
      <sheetName val="matrixnba"/>
      <sheetName val="MDS PLOT"/>
      <sheetName val="Cluster Cities"/>
      <sheetName val="MDS Analysis"/>
      <sheetName val="Code Sheet"/>
      <sheetName val="Ideal Point"/>
    </sheetNames>
    <sheetDataSet>
      <sheetData sheetId="0"/>
      <sheetData sheetId="1"/>
      <sheetData sheetId="2"/>
      <sheetData sheetId="3"/>
      <sheetData sheetId="4"/>
      <sheetData sheetId="5">
        <row r="3">
          <cell r="I3">
            <v>1</v>
          </cell>
        </row>
        <row r="66">
          <cell r="K66">
            <v>10000000</v>
          </cell>
          <cell r="L66">
            <v>29</v>
          </cell>
          <cell r="M66">
            <v>25</v>
          </cell>
          <cell r="N66">
            <v>1</v>
          </cell>
          <cell r="O66">
            <v>50</v>
          </cell>
          <cell r="P66">
            <v>2</v>
          </cell>
          <cell r="Q66">
            <v>32</v>
          </cell>
          <cell r="R66">
            <v>17</v>
          </cell>
          <cell r="S66">
            <v>5</v>
          </cell>
          <cell r="T66">
            <v>41</v>
          </cell>
          <cell r="U66">
            <v>16</v>
          </cell>
          <cell r="V66">
            <v>25</v>
          </cell>
          <cell r="W66">
            <v>16</v>
          </cell>
          <cell r="X66">
            <v>18</v>
          </cell>
          <cell r="Y66">
            <v>5</v>
          </cell>
          <cell r="Z66">
            <v>2</v>
          </cell>
          <cell r="AA66">
            <v>1</v>
          </cell>
          <cell r="AB66">
            <v>37</v>
          </cell>
          <cell r="AC66">
            <v>25</v>
          </cell>
          <cell r="AD66">
            <v>5</v>
          </cell>
          <cell r="AE66">
            <v>25</v>
          </cell>
          <cell r="AF66">
            <v>10</v>
          </cell>
          <cell r="AG66">
            <v>0</v>
          </cell>
          <cell r="AH66">
            <v>20</v>
          </cell>
          <cell r="AI66">
            <v>5</v>
          </cell>
          <cell r="AJ66">
            <v>4</v>
          </cell>
          <cell r="AK66">
            <v>26</v>
          </cell>
          <cell r="AL66">
            <v>20</v>
          </cell>
          <cell r="AM66">
            <v>52</v>
          </cell>
        </row>
        <row r="67">
          <cell r="K67">
            <v>29</v>
          </cell>
          <cell r="L67">
            <v>10000000</v>
          </cell>
          <cell r="M67">
            <v>74</v>
          </cell>
          <cell r="N67">
            <v>20</v>
          </cell>
          <cell r="O67">
            <v>49</v>
          </cell>
          <cell r="P67">
            <v>37</v>
          </cell>
          <cell r="Q67">
            <v>5</v>
          </cell>
          <cell r="R67">
            <v>52</v>
          </cell>
          <cell r="S67">
            <v>50</v>
          </cell>
          <cell r="T67">
            <v>50</v>
          </cell>
          <cell r="U67">
            <v>5</v>
          </cell>
          <cell r="V67">
            <v>74</v>
          </cell>
          <cell r="W67">
            <v>29</v>
          </cell>
          <cell r="X67">
            <v>65</v>
          </cell>
          <cell r="Y67">
            <v>50</v>
          </cell>
          <cell r="Z67">
            <v>25</v>
          </cell>
          <cell r="AA67">
            <v>40</v>
          </cell>
          <cell r="AB67">
            <v>2</v>
          </cell>
          <cell r="AC67">
            <v>74</v>
          </cell>
          <cell r="AD67">
            <v>10</v>
          </cell>
          <cell r="AE67">
            <v>26</v>
          </cell>
          <cell r="AF67">
            <v>37</v>
          </cell>
          <cell r="AG67">
            <v>29</v>
          </cell>
          <cell r="AH67">
            <v>13</v>
          </cell>
          <cell r="AI67">
            <v>32</v>
          </cell>
          <cell r="AJ67">
            <v>41</v>
          </cell>
          <cell r="AK67">
            <v>65</v>
          </cell>
          <cell r="AL67">
            <v>45</v>
          </cell>
          <cell r="AM67">
            <v>5</v>
          </cell>
        </row>
        <row r="68">
          <cell r="K68">
            <v>25</v>
          </cell>
          <cell r="L68">
            <v>74</v>
          </cell>
          <cell r="M68">
            <v>10000000</v>
          </cell>
          <cell r="N68">
            <v>26</v>
          </cell>
          <cell r="O68">
            <v>25</v>
          </cell>
          <cell r="P68">
            <v>37</v>
          </cell>
          <cell r="Q68">
            <v>97</v>
          </cell>
          <cell r="R68">
            <v>2</v>
          </cell>
          <cell r="S68">
            <v>40</v>
          </cell>
          <cell r="T68">
            <v>16</v>
          </cell>
          <cell r="U68">
            <v>41</v>
          </cell>
          <cell r="V68">
            <v>0</v>
          </cell>
          <cell r="W68">
            <v>81</v>
          </cell>
          <cell r="X68">
            <v>73</v>
          </cell>
          <cell r="Y68">
            <v>40</v>
          </cell>
          <cell r="Z68">
            <v>17</v>
          </cell>
          <cell r="AA68">
            <v>26</v>
          </cell>
          <cell r="AB68">
            <v>72</v>
          </cell>
          <cell r="AC68">
            <v>0</v>
          </cell>
          <cell r="AD68">
            <v>40</v>
          </cell>
          <cell r="AE68">
            <v>20</v>
          </cell>
          <cell r="AF68">
            <v>65</v>
          </cell>
          <cell r="AG68">
            <v>25</v>
          </cell>
          <cell r="AH68">
            <v>85</v>
          </cell>
          <cell r="AI68">
            <v>10</v>
          </cell>
          <cell r="AJ68">
            <v>9</v>
          </cell>
          <cell r="AK68">
            <v>1</v>
          </cell>
          <cell r="AL68">
            <v>5</v>
          </cell>
          <cell r="AM68">
            <v>117</v>
          </cell>
        </row>
        <row r="69">
          <cell r="K69">
            <v>1</v>
          </cell>
          <cell r="L69">
            <v>20</v>
          </cell>
          <cell r="M69">
            <v>26</v>
          </cell>
          <cell r="N69">
            <v>10000000</v>
          </cell>
          <cell r="O69">
            <v>41</v>
          </cell>
          <cell r="P69">
            <v>5</v>
          </cell>
          <cell r="Q69">
            <v>25</v>
          </cell>
          <cell r="R69">
            <v>16</v>
          </cell>
          <cell r="S69">
            <v>10</v>
          </cell>
          <cell r="T69">
            <v>34</v>
          </cell>
          <cell r="U69">
            <v>9</v>
          </cell>
          <cell r="V69">
            <v>26</v>
          </cell>
          <cell r="W69">
            <v>17</v>
          </cell>
          <cell r="X69">
            <v>25</v>
          </cell>
          <cell r="Y69">
            <v>10</v>
          </cell>
          <cell r="Z69">
            <v>1</v>
          </cell>
          <cell r="AA69">
            <v>4</v>
          </cell>
          <cell r="AB69">
            <v>26</v>
          </cell>
          <cell r="AC69">
            <v>26</v>
          </cell>
          <cell r="AD69">
            <v>2</v>
          </cell>
          <cell r="AE69">
            <v>18</v>
          </cell>
          <cell r="AF69">
            <v>13</v>
          </cell>
          <cell r="AG69">
            <v>1</v>
          </cell>
          <cell r="AH69">
            <v>17</v>
          </cell>
          <cell r="AI69">
            <v>4</v>
          </cell>
          <cell r="AJ69">
            <v>5</v>
          </cell>
          <cell r="AK69">
            <v>25</v>
          </cell>
          <cell r="AL69">
            <v>17</v>
          </cell>
          <cell r="AM69">
            <v>41</v>
          </cell>
        </row>
        <row r="70">
          <cell r="K70">
            <v>50</v>
          </cell>
          <cell r="L70">
            <v>49</v>
          </cell>
          <cell r="M70">
            <v>25</v>
          </cell>
          <cell r="N70">
            <v>41</v>
          </cell>
          <cell r="O70">
            <v>10000000</v>
          </cell>
          <cell r="P70">
            <v>72</v>
          </cell>
          <cell r="Q70">
            <v>82</v>
          </cell>
          <cell r="R70">
            <v>17</v>
          </cell>
          <cell r="S70">
            <v>85</v>
          </cell>
          <cell r="T70">
            <v>1</v>
          </cell>
          <cell r="U70">
            <v>26</v>
          </cell>
          <cell r="V70">
            <v>25</v>
          </cell>
          <cell r="W70">
            <v>106</v>
          </cell>
          <cell r="X70">
            <v>128</v>
          </cell>
          <cell r="Y70">
            <v>85</v>
          </cell>
          <cell r="Z70">
            <v>32</v>
          </cell>
          <cell r="AA70">
            <v>61</v>
          </cell>
          <cell r="AB70">
            <v>37</v>
          </cell>
          <cell r="AC70">
            <v>25</v>
          </cell>
          <cell r="AD70">
            <v>45</v>
          </cell>
          <cell r="AE70">
            <v>5</v>
          </cell>
          <cell r="AF70">
            <v>100</v>
          </cell>
          <cell r="AG70">
            <v>50</v>
          </cell>
          <cell r="AH70">
            <v>90</v>
          </cell>
          <cell r="AI70">
            <v>25</v>
          </cell>
          <cell r="AJ70">
            <v>34</v>
          </cell>
          <cell r="AK70">
            <v>16</v>
          </cell>
          <cell r="AL70">
            <v>10</v>
          </cell>
          <cell r="AM70">
            <v>82</v>
          </cell>
        </row>
        <row r="71">
          <cell r="K71">
            <v>2</v>
          </cell>
          <cell r="L71">
            <v>37</v>
          </cell>
          <cell r="M71">
            <v>37</v>
          </cell>
          <cell r="N71">
            <v>5</v>
          </cell>
          <cell r="O71">
            <v>72</v>
          </cell>
          <cell r="P71">
            <v>10000000</v>
          </cell>
          <cell r="Q71">
            <v>34</v>
          </cell>
          <cell r="R71">
            <v>29</v>
          </cell>
          <cell r="S71">
            <v>1</v>
          </cell>
          <cell r="T71">
            <v>61</v>
          </cell>
          <cell r="U71">
            <v>26</v>
          </cell>
          <cell r="V71">
            <v>37</v>
          </cell>
          <cell r="W71">
            <v>10</v>
          </cell>
          <cell r="X71">
            <v>8</v>
          </cell>
          <cell r="Y71">
            <v>1</v>
          </cell>
          <cell r="Z71">
            <v>8</v>
          </cell>
          <cell r="AA71">
            <v>1</v>
          </cell>
          <cell r="AB71">
            <v>49</v>
          </cell>
          <cell r="AC71">
            <v>37</v>
          </cell>
          <cell r="AD71">
            <v>9</v>
          </cell>
          <cell r="AE71">
            <v>41</v>
          </cell>
          <cell r="AF71">
            <v>4</v>
          </cell>
          <cell r="AG71">
            <v>2</v>
          </cell>
          <cell r="AH71">
            <v>18</v>
          </cell>
          <cell r="AI71">
            <v>13</v>
          </cell>
          <cell r="AJ71">
            <v>10</v>
          </cell>
          <cell r="AK71">
            <v>40</v>
          </cell>
          <cell r="AL71">
            <v>34</v>
          </cell>
          <cell r="AM71">
            <v>58</v>
          </cell>
        </row>
        <row r="72">
          <cell r="K72">
            <v>32</v>
          </cell>
          <cell r="L72">
            <v>5</v>
          </cell>
          <cell r="M72">
            <v>97</v>
          </cell>
          <cell r="N72">
            <v>25</v>
          </cell>
          <cell r="O72">
            <v>82</v>
          </cell>
          <cell r="P72">
            <v>34</v>
          </cell>
          <cell r="Q72">
            <v>10000000</v>
          </cell>
          <cell r="R72">
            <v>73</v>
          </cell>
          <cell r="S72">
            <v>45</v>
          </cell>
          <cell r="T72">
            <v>81</v>
          </cell>
          <cell r="U72">
            <v>16</v>
          </cell>
          <cell r="V72">
            <v>97</v>
          </cell>
          <cell r="W72">
            <v>16</v>
          </cell>
          <cell r="X72">
            <v>50</v>
          </cell>
          <cell r="Y72">
            <v>45</v>
          </cell>
          <cell r="Z72">
            <v>34</v>
          </cell>
          <cell r="AA72">
            <v>41</v>
          </cell>
          <cell r="AB72">
            <v>13</v>
          </cell>
          <cell r="AC72">
            <v>97</v>
          </cell>
          <cell r="AD72">
            <v>13</v>
          </cell>
          <cell r="AE72">
            <v>49</v>
          </cell>
          <cell r="AF72">
            <v>26</v>
          </cell>
          <cell r="AG72">
            <v>32</v>
          </cell>
          <cell r="AH72">
            <v>4</v>
          </cell>
          <cell r="AI72">
            <v>45</v>
          </cell>
          <cell r="AJ72">
            <v>52</v>
          </cell>
          <cell r="AK72">
            <v>90</v>
          </cell>
          <cell r="AL72">
            <v>68</v>
          </cell>
          <cell r="AM72">
            <v>4</v>
          </cell>
        </row>
        <row r="73">
          <cell r="K73">
            <v>17</v>
          </cell>
          <cell r="L73">
            <v>52</v>
          </cell>
          <cell r="M73">
            <v>2</v>
          </cell>
          <cell r="N73">
            <v>16</v>
          </cell>
          <cell r="O73">
            <v>17</v>
          </cell>
          <cell r="P73">
            <v>29</v>
          </cell>
          <cell r="Q73">
            <v>73</v>
          </cell>
          <cell r="R73">
            <v>10000000</v>
          </cell>
          <cell r="S73">
            <v>34</v>
          </cell>
          <cell r="T73">
            <v>10</v>
          </cell>
          <cell r="U73">
            <v>25</v>
          </cell>
          <cell r="V73">
            <v>2</v>
          </cell>
          <cell r="W73">
            <v>65</v>
          </cell>
          <cell r="X73">
            <v>65</v>
          </cell>
          <cell r="Y73">
            <v>34</v>
          </cell>
          <cell r="Z73">
            <v>9</v>
          </cell>
          <cell r="AA73">
            <v>20</v>
          </cell>
          <cell r="AB73">
            <v>50</v>
          </cell>
          <cell r="AC73">
            <v>2</v>
          </cell>
          <cell r="AD73">
            <v>26</v>
          </cell>
          <cell r="AE73">
            <v>10</v>
          </cell>
          <cell r="AF73">
            <v>53</v>
          </cell>
          <cell r="AG73">
            <v>17</v>
          </cell>
          <cell r="AH73">
            <v>65</v>
          </cell>
          <cell r="AI73">
            <v>4</v>
          </cell>
          <cell r="AJ73">
            <v>5</v>
          </cell>
          <cell r="AK73">
            <v>1</v>
          </cell>
          <cell r="AL73">
            <v>1</v>
          </cell>
          <cell r="AM73">
            <v>89</v>
          </cell>
        </row>
        <row r="74">
          <cell r="K74">
            <v>5</v>
          </cell>
          <cell r="L74">
            <v>50</v>
          </cell>
          <cell r="M74">
            <v>40</v>
          </cell>
          <cell r="N74">
            <v>10</v>
          </cell>
          <cell r="O74">
            <v>85</v>
          </cell>
          <cell r="P74">
            <v>1</v>
          </cell>
          <cell r="Q74">
            <v>45</v>
          </cell>
          <cell r="R74">
            <v>34</v>
          </cell>
          <cell r="S74">
            <v>10000000</v>
          </cell>
          <cell r="T74">
            <v>72</v>
          </cell>
          <cell r="U74">
            <v>37</v>
          </cell>
          <cell r="V74">
            <v>40</v>
          </cell>
          <cell r="W74">
            <v>13</v>
          </cell>
          <cell r="X74">
            <v>5</v>
          </cell>
          <cell r="Y74">
            <v>0</v>
          </cell>
          <cell r="Z74">
            <v>13</v>
          </cell>
          <cell r="AA74">
            <v>2</v>
          </cell>
          <cell r="AB74">
            <v>64</v>
          </cell>
          <cell r="AC74">
            <v>40</v>
          </cell>
          <cell r="AD74">
            <v>16</v>
          </cell>
          <cell r="AE74">
            <v>52</v>
          </cell>
          <cell r="AF74">
            <v>5</v>
          </cell>
          <cell r="AG74">
            <v>5</v>
          </cell>
          <cell r="AH74">
            <v>25</v>
          </cell>
          <cell r="AI74">
            <v>18</v>
          </cell>
          <cell r="AJ74">
            <v>13</v>
          </cell>
          <cell r="AK74">
            <v>45</v>
          </cell>
          <cell r="AL74">
            <v>41</v>
          </cell>
          <cell r="AM74">
            <v>73</v>
          </cell>
        </row>
        <row r="75">
          <cell r="K75">
            <v>41</v>
          </cell>
          <cell r="L75">
            <v>50</v>
          </cell>
          <cell r="M75">
            <v>16</v>
          </cell>
          <cell r="N75">
            <v>34</v>
          </cell>
          <cell r="O75">
            <v>1</v>
          </cell>
          <cell r="P75">
            <v>61</v>
          </cell>
          <cell r="Q75">
            <v>81</v>
          </cell>
          <cell r="R75">
            <v>10</v>
          </cell>
          <cell r="S75">
            <v>72</v>
          </cell>
          <cell r="T75">
            <v>10000000</v>
          </cell>
          <cell r="U75">
            <v>25</v>
          </cell>
          <cell r="V75">
            <v>16</v>
          </cell>
          <cell r="W75">
            <v>97</v>
          </cell>
          <cell r="X75">
            <v>113</v>
          </cell>
          <cell r="Y75">
            <v>72</v>
          </cell>
          <cell r="Z75">
            <v>25</v>
          </cell>
          <cell r="AA75">
            <v>50</v>
          </cell>
          <cell r="AB75">
            <v>40</v>
          </cell>
          <cell r="AC75">
            <v>16</v>
          </cell>
          <cell r="AD75">
            <v>40</v>
          </cell>
          <cell r="AE75">
            <v>4</v>
          </cell>
          <cell r="AF75">
            <v>89</v>
          </cell>
          <cell r="AG75">
            <v>41</v>
          </cell>
          <cell r="AH75">
            <v>85</v>
          </cell>
          <cell r="AI75">
            <v>18</v>
          </cell>
          <cell r="AJ75">
            <v>25</v>
          </cell>
          <cell r="AK75">
            <v>9</v>
          </cell>
          <cell r="AL75">
            <v>5</v>
          </cell>
          <cell r="AM75">
            <v>85</v>
          </cell>
        </row>
        <row r="76">
          <cell r="K76">
            <v>16</v>
          </cell>
          <cell r="L76">
            <v>5</v>
          </cell>
          <cell r="M76">
            <v>41</v>
          </cell>
          <cell r="N76">
            <v>9</v>
          </cell>
          <cell r="O76">
            <v>26</v>
          </cell>
          <cell r="P76">
            <v>26</v>
          </cell>
          <cell r="Q76">
            <v>16</v>
          </cell>
          <cell r="R76">
            <v>25</v>
          </cell>
          <cell r="S76">
            <v>37</v>
          </cell>
          <cell r="T76">
            <v>25</v>
          </cell>
          <cell r="U76">
            <v>10000000</v>
          </cell>
          <cell r="V76">
            <v>41</v>
          </cell>
          <cell r="W76">
            <v>32</v>
          </cell>
          <cell r="X76">
            <v>58</v>
          </cell>
          <cell r="Y76">
            <v>37</v>
          </cell>
          <cell r="Z76">
            <v>10</v>
          </cell>
          <cell r="AA76">
            <v>25</v>
          </cell>
          <cell r="AB76">
            <v>5</v>
          </cell>
          <cell r="AC76">
            <v>41</v>
          </cell>
          <cell r="AD76">
            <v>5</v>
          </cell>
          <cell r="AE76">
            <v>9</v>
          </cell>
          <cell r="AF76">
            <v>34</v>
          </cell>
          <cell r="AG76">
            <v>16</v>
          </cell>
          <cell r="AH76">
            <v>20</v>
          </cell>
          <cell r="AI76">
            <v>13</v>
          </cell>
          <cell r="AJ76">
            <v>20</v>
          </cell>
          <cell r="AK76">
            <v>34</v>
          </cell>
          <cell r="AL76">
            <v>20</v>
          </cell>
          <cell r="AM76">
            <v>20</v>
          </cell>
        </row>
        <row r="77">
          <cell r="K77">
            <v>25</v>
          </cell>
          <cell r="L77">
            <v>74</v>
          </cell>
          <cell r="M77">
            <v>0</v>
          </cell>
          <cell r="N77">
            <v>26</v>
          </cell>
          <cell r="O77">
            <v>25</v>
          </cell>
          <cell r="P77">
            <v>37</v>
          </cell>
          <cell r="Q77">
            <v>97</v>
          </cell>
          <cell r="R77">
            <v>2</v>
          </cell>
          <cell r="S77">
            <v>40</v>
          </cell>
          <cell r="T77">
            <v>16</v>
          </cell>
          <cell r="U77">
            <v>41</v>
          </cell>
          <cell r="V77">
            <v>10000000</v>
          </cell>
          <cell r="W77">
            <v>81</v>
          </cell>
          <cell r="X77">
            <v>73</v>
          </cell>
          <cell r="Y77">
            <v>40</v>
          </cell>
          <cell r="Z77">
            <v>17</v>
          </cell>
          <cell r="AA77">
            <v>26</v>
          </cell>
          <cell r="AB77">
            <v>72</v>
          </cell>
          <cell r="AC77">
            <v>0</v>
          </cell>
          <cell r="AD77">
            <v>40</v>
          </cell>
          <cell r="AE77">
            <v>20</v>
          </cell>
          <cell r="AF77">
            <v>65</v>
          </cell>
          <cell r="AG77">
            <v>25</v>
          </cell>
          <cell r="AH77">
            <v>85</v>
          </cell>
          <cell r="AI77">
            <v>10</v>
          </cell>
          <cell r="AJ77">
            <v>9</v>
          </cell>
          <cell r="AK77">
            <v>1</v>
          </cell>
          <cell r="AL77">
            <v>5</v>
          </cell>
          <cell r="AM77">
            <v>117</v>
          </cell>
        </row>
        <row r="78">
          <cell r="K78">
            <v>16</v>
          </cell>
          <cell r="L78">
            <v>29</v>
          </cell>
          <cell r="M78">
            <v>81</v>
          </cell>
          <cell r="N78">
            <v>17</v>
          </cell>
          <cell r="O78">
            <v>106</v>
          </cell>
          <cell r="P78">
            <v>10</v>
          </cell>
          <cell r="Q78">
            <v>16</v>
          </cell>
          <cell r="R78">
            <v>65</v>
          </cell>
          <cell r="S78">
            <v>13</v>
          </cell>
          <cell r="T78">
            <v>97</v>
          </cell>
          <cell r="U78">
            <v>32</v>
          </cell>
          <cell r="V78">
            <v>81</v>
          </cell>
          <cell r="W78">
            <v>10000000</v>
          </cell>
          <cell r="X78">
            <v>10</v>
          </cell>
          <cell r="Y78">
            <v>13</v>
          </cell>
          <cell r="Z78">
            <v>26</v>
          </cell>
          <cell r="AA78">
            <v>17</v>
          </cell>
          <cell r="AB78">
            <v>45</v>
          </cell>
          <cell r="AC78">
            <v>81</v>
          </cell>
          <cell r="AD78">
            <v>13</v>
          </cell>
          <cell r="AE78">
            <v>65</v>
          </cell>
          <cell r="AF78">
            <v>2</v>
          </cell>
          <cell r="AG78">
            <v>16</v>
          </cell>
          <cell r="AH78">
            <v>4</v>
          </cell>
          <cell r="AI78">
            <v>37</v>
          </cell>
          <cell r="AJ78">
            <v>36</v>
          </cell>
          <cell r="AK78">
            <v>82</v>
          </cell>
          <cell r="AL78">
            <v>68</v>
          </cell>
          <cell r="AM78">
            <v>36</v>
          </cell>
        </row>
        <row r="79">
          <cell r="K79">
            <v>18</v>
          </cell>
          <cell r="L79">
            <v>65</v>
          </cell>
          <cell r="M79">
            <v>73</v>
          </cell>
          <cell r="N79">
            <v>25</v>
          </cell>
          <cell r="O79">
            <v>128</v>
          </cell>
          <cell r="P79">
            <v>8</v>
          </cell>
          <cell r="Q79">
            <v>50</v>
          </cell>
          <cell r="R79">
            <v>65</v>
          </cell>
          <cell r="S79">
            <v>5</v>
          </cell>
          <cell r="T79">
            <v>113</v>
          </cell>
          <cell r="U79">
            <v>58</v>
          </cell>
          <cell r="V79">
            <v>73</v>
          </cell>
          <cell r="W79">
            <v>10</v>
          </cell>
          <cell r="X79">
            <v>10000000</v>
          </cell>
          <cell r="Y79">
            <v>5</v>
          </cell>
          <cell r="Z79">
            <v>32</v>
          </cell>
          <cell r="AA79">
            <v>13</v>
          </cell>
          <cell r="AB79">
            <v>85</v>
          </cell>
          <cell r="AC79">
            <v>73</v>
          </cell>
          <cell r="AD79">
            <v>29</v>
          </cell>
          <cell r="AE79">
            <v>85</v>
          </cell>
          <cell r="AF79">
            <v>4</v>
          </cell>
          <cell r="AG79">
            <v>18</v>
          </cell>
          <cell r="AH79">
            <v>26</v>
          </cell>
          <cell r="AI79">
            <v>41</v>
          </cell>
          <cell r="AJ79">
            <v>34</v>
          </cell>
          <cell r="AK79">
            <v>80</v>
          </cell>
          <cell r="AL79">
            <v>74</v>
          </cell>
          <cell r="AM79">
            <v>82</v>
          </cell>
        </row>
        <row r="80">
          <cell r="K80">
            <v>5</v>
          </cell>
          <cell r="L80">
            <v>50</v>
          </cell>
          <cell r="M80">
            <v>40</v>
          </cell>
          <cell r="N80">
            <v>10</v>
          </cell>
          <cell r="O80">
            <v>85</v>
          </cell>
          <cell r="P80">
            <v>1</v>
          </cell>
          <cell r="Q80">
            <v>45</v>
          </cell>
          <cell r="R80">
            <v>34</v>
          </cell>
          <cell r="S80">
            <v>0</v>
          </cell>
          <cell r="T80">
            <v>72</v>
          </cell>
          <cell r="U80">
            <v>37</v>
          </cell>
          <cell r="V80">
            <v>40</v>
          </cell>
          <cell r="W80">
            <v>13</v>
          </cell>
          <cell r="X80">
            <v>5</v>
          </cell>
          <cell r="Y80">
            <v>10000000</v>
          </cell>
          <cell r="Z80">
            <v>13</v>
          </cell>
          <cell r="AA80">
            <v>2</v>
          </cell>
          <cell r="AB80">
            <v>64</v>
          </cell>
          <cell r="AC80">
            <v>40</v>
          </cell>
          <cell r="AD80">
            <v>16</v>
          </cell>
          <cell r="AE80">
            <v>52</v>
          </cell>
          <cell r="AF80">
            <v>5</v>
          </cell>
          <cell r="AG80">
            <v>5</v>
          </cell>
          <cell r="AH80">
            <v>25</v>
          </cell>
          <cell r="AI80">
            <v>18</v>
          </cell>
          <cell r="AJ80">
            <v>13</v>
          </cell>
          <cell r="AK80">
            <v>45</v>
          </cell>
          <cell r="AL80">
            <v>41</v>
          </cell>
          <cell r="AM80">
            <v>73</v>
          </cell>
        </row>
        <row r="81">
          <cell r="K81">
            <v>2</v>
          </cell>
          <cell r="L81">
            <v>25</v>
          </cell>
          <cell r="M81">
            <v>17</v>
          </cell>
          <cell r="N81">
            <v>1</v>
          </cell>
          <cell r="O81">
            <v>32</v>
          </cell>
          <cell r="P81">
            <v>8</v>
          </cell>
          <cell r="Q81">
            <v>34</v>
          </cell>
          <cell r="R81">
            <v>9</v>
          </cell>
          <cell r="S81">
            <v>13</v>
          </cell>
          <cell r="T81">
            <v>25</v>
          </cell>
          <cell r="U81">
            <v>10</v>
          </cell>
          <cell r="V81">
            <v>17</v>
          </cell>
          <cell r="W81">
            <v>26</v>
          </cell>
          <cell r="X81">
            <v>32</v>
          </cell>
          <cell r="Y81">
            <v>13</v>
          </cell>
          <cell r="Z81">
            <v>10000000</v>
          </cell>
          <cell r="AA81">
            <v>5</v>
          </cell>
          <cell r="AB81">
            <v>29</v>
          </cell>
          <cell r="AC81">
            <v>17</v>
          </cell>
          <cell r="AD81">
            <v>5</v>
          </cell>
          <cell r="AE81">
            <v>13</v>
          </cell>
          <cell r="AF81">
            <v>20</v>
          </cell>
          <cell r="AG81">
            <v>2</v>
          </cell>
          <cell r="AH81">
            <v>26</v>
          </cell>
          <cell r="AI81">
            <v>1</v>
          </cell>
          <cell r="AJ81">
            <v>2</v>
          </cell>
          <cell r="AK81">
            <v>16</v>
          </cell>
          <cell r="AL81">
            <v>10</v>
          </cell>
          <cell r="AM81">
            <v>50</v>
          </cell>
        </row>
        <row r="82">
          <cell r="K82">
            <v>1</v>
          </cell>
          <cell r="L82">
            <v>40</v>
          </cell>
          <cell r="M82">
            <v>26</v>
          </cell>
          <cell r="N82">
            <v>4</v>
          </cell>
          <cell r="O82">
            <v>61</v>
          </cell>
          <cell r="P82">
            <v>1</v>
          </cell>
          <cell r="Q82">
            <v>41</v>
          </cell>
          <cell r="R82">
            <v>20</v>
          </cell>
          <cell r="S82">
            <v>2</v>
          </cell>
          <cell r="T82">
            <v>50</v>
          </cell>
          <cell r="U82">
            <v>25</v>
          </cell>
          <cell r="V82">
            <v>26</v>
          </cell>
          <cell r="W82">
            <v>17</v>
          </cell>
          <cell r="X82">
            <v>13</v>
          </cell>
          <cell r="Y82">
            <v>2</v>
          </cell>
          <cell r="Z82">
            <v>5</v>
          </cell>
          <cell r="AA82">
            <v>10000000</v>
          </cell>
          <cell r="AB82">
            <v>50</v>
          </cell>
          <cell r="AC82">
            <v>26</v>
          </cell>
          <cell r="AD82">
            <v>10</v>
          </cell>
          <cell r="AE82">
            <v>34</v>
          </cell>
          <cell r="AF82">
            <v>9</v>
          </cell>
          <cell r="AG82">
            <v>1</v>
          </cell>
          <cell r="AH82">
            <v>25</v>
          </cell>
          <cell r="AI82">
            <v>8</v>
          </cell>
          <cell r="AJ82">
            <v>5</v>
          </cell>
          <cell r="AK82">
            <v>29</v>
          </cell>
          <cell r="AL82">
            <v>25</v>
          </cell>
          <cell r="AM82">
            <v>65</v>
          </cell>
        </row>
        <row r="83">
          <cell r="K83">
            <v>37</v>
          </cell>
          <cell r="L83">
            <v>2</v>
          </cell>
          <cell r="M83">
            <v>72</v>
          </cell>
          <cell r="N83">
            <v>26</v>
          </cell>
          <cell r="O83">
            <v>37</v>
          </cell>
          <cell r="P83">
            <v>49</v>
          </cell>
          <cell r="Q83">
            <v>13</v>
          </cell>
          <cell r="R83">
            <v>50</v>
          </cell>
          <cell r="S83">
            <v>64</v>
          </cell>
          <cell r="T83">
            <v>40</v>
          </cell>
          <cell r="U83">
            <v>5</v>
          </cell>
          <cell r="V83">
            <v>72</v>
          </cell>
          <cell r="W83">
            <v>45</v>
          </cell>
          <cell r="X83">
            <v>85</v>
          </cell>
          <cell r="Y83">
            <v>64</v>
          </cell>
          <cell r="Z83">
            <v>29</v>
          </cell>
          <cell r="AA83">
            <v>50</v>
          </cell>
          <cell r="AB83">
            <v>10000000</v>
          </cell>
          <cell r="AC83">
            <v>72</v>
          </cell>
          <cell r="AD83">
            <v>16</v>
          </cell>
          <cell r="AE83">
            <v>20</v>
          </cell>
          <cell r="AF83">
            <v>53</v>
          </cell>
          <cell r="AG83">
            <v>37</v>
          </cell>
          <cell r="AH83">
            <v>25</v>
          </cell>
          <cell r="AI83">
            <v>34</v>
          </cell>
          <cell r="AJ83">
            <v>45</v>
          </cell>
          <cell r="AK83">
            <v>61</v>
          </cell>
          <cell r="AL83">
            <v>41</v>
          </cell>
          <cell r="AM83">
            <v>9</v>
          </cell>
        </row>
        <row r="84">
          <cell r="K84">
            <v>25</v>
          </cell>
          <cell r="L84">
            <v>74</v>
          </cell>
          <cell r="M84">
            <v>0</v>
          </cell>
          <cell r="N84">
            <v>26</v>
          </cell>
          <cell r="O84">
            <v>25</v>
          </cell>
          <cell r="P84">
            <v>37</v>
          </cell>
          <cell r="Q84">
            <v>97</v>
          </cell>
          <cell r="R84">
            <v>2</v>
          </cell>
          <cell r="S84">
            <v>40</v>
          </cell>
          <cell r="T84">
            <v>16</v>
          </cell>
          <cell r="U84">
            <v>41</v>
          </cell>
          <cell r="V84">
            <v>0</v>
          </cell>
          <cell r="W84">
            <v>81</v>
          </cell>
          <cell r="X84">
            <v>73</v>
          </cell>
          <cell r="Y84">
            <v>40</v>
          </cell>
          <cell r="Z84">
            <v>17</v>
          </cell>
          <cell r="AA84">
            <v>26</v>
          </cell>
          <cell r="AB84">
            <v>72</v>
          </cell>
          <cell r="AC84">
            <v>10000000</v>
          </cell>
          <cell r="AD84">
            <v>40</v>
          </cell>
          <cell r="AE84">
            <v>20</v>
          </cell>
          <cell r="AF84">
            <v>65</v>
          </cell>
          <cell r="AG84">
            <v>25</v>
          </cell>
          <cell r="AH84">
            <v>85</v>
          </cell>
          <cell r="AI84">
            <v>10</v>
          </cell>
          <cell r="AJ84">
            <v>9</v>
          </cell>
          <cell r="AK84">
            <v>1</v>
          </cell>
          <cell r="AL84">
            <v>5</v>
          </cell>
          <cell r="AM84">
            <v>117</v>
          </cell>
        </row>
        <row r="85">
          <cell r="K85">
            <v>5</v>
          </cell>
          <cell r="L85">
            <v>10</v>
          </cell>
          <cell r="M85">
            <v>40</v>
          </cell>
          <cell r="N85">
            <v>2</v>
          </cell>
          <cell r="O85">
            <v>45</v>
          </cell>
          <cell r="P85">
            <v>9</v>
          </cell>
          <cell r="Q85">
            <v>13</v>
          </cell>
          <cell r="R85">
            <v>26</v>
          </cell>
          <cell r="S85">
            <v>16</v>
          </cell>
          <cell r="T85">
            <v>40</v>
          </cell>
          <cell r="U85">
            <v>5</v>
          </cell>
          <cell r="V85">
            <v>40</v>
          </cell>
          <cell r="W85">
            <v>13</v>
          </cell>
          <cell r="X85">
            <v>29</v>
          </cell>
          <cell r="Y85">
            <v>16</v>
          </cell>
          <cell r="Z85">
            <v>5</v>
          </cell>
          <cell r="AA85">
            <v>10</v>
          </cell>
          <cell r="AB85">
            <v>16</v>
          </cell>
          <cell r="AC85">
            <v>40</v>
          </cell>
          <cell r="AD85">
            <v>10000000</v>
          </cell>
          <cell r="AE85">
            <v>20</v>
          </cell>
          <cell r="AF85">
            <v>13</v>
          </cell>
          <cell r="AG85">
            <v>5</v>
          </cell>
          <cell r="AH85">
            <v>9</v>
          </cell>
          <cell r="AI85">
            <v>10</v>
          </cell>
          <cell r="AJ85">
            <v>13</v>
          </cell>
          <cell r="AK85">
            <v>37</v>
          </cell>
          <cell r="AL85">
            <v>25</v>
          </cell>
          <cell r="AM85">
            <v>25</v>
          </cell>
        </row>
        <row r="86">
          <cell r="K86">
            <v>25</v>
          </cell>
          <cell r="L86">
            <v>26</v>
          </cell>
          <cell r="M86">
            <v>20</v>
          </cell>
          <cell r="N86">
            <v>18</v>
          </cell>
          <cell r="O86">
            <v>5</v>
          </cell>
          <cell r="P86">
            <v>41</v>
          </cell>
          <cell r="Q86">
            <v>49</v>
          </cell>
          <cell r="R86">
            <v>10</v>
          </cell>
          <cell r="S86">
            <v>52</v>
          </cell>
          <cell r="T86">
            <v>4</v>
          </cell>
          <cell r="U86">
            <v>9</v>
          </cell>
          <cell r="V86">
            <v>20</v>
          </cell>
          <cell r="W86">
            <v>65</v>
          </cell>
          <cell r="X86">
            <v>85</v>
          </cell>
          <cell r="Y86">
            <v>52</v>
          </cell>
          <cell r="Z86">
            <v>13</v>
          </cell>
          <cell r="AA86">
            <v>34</v>
          </cell>
          <cell r="AB86">
            <v>20</v>
          </cell>
          <cell r="AC86">
            <v>20</v>
          </cell>
          <cell r="AD86">
            <v>20</v>
          </cell>
          <cell r="AE86">
            <v>10000000</v>
          </cell>
          <cell r="AF86">
            <v>61</v>
          </cell>
          <cell r="AG86">
            <v>25</v>
          </cell>
          <cell r="AH86">
            <v>53</v>
          </cell>
          <cell r="AI86">
            <v>10</v>
          </cell>
          <cell r="AJ86">
            <v>17</v>
          </cell>
          <cell r="AK86">
            <v>13</v>
          </cell>
          <cell r="AL86">
            <v>5</v>
          </cell>
          <cell r="AM86">
            <v>53</v>
          </cell>
        </row>
        <row r="87">
          <cell r="K87">
            <v>10</v>
          </cell>
          <cell r="L87">
            <v>37</v>
          </cell>
          <cell r="M87">
            <v>65</v>
          </cell>
          <cell r="N87">
            <v>13</v>
          </cell>
          <cell r="O87">
            <v>100</v>
          </cell>
          <cell r="P87">
            <v>4</v>
          </cell>
          <cell r="Q87">
            <v>26</v>
          </cell>
          <cell r="R87">
            <v>53</v>
          </cell>
          <cell r="S87">
            <v>5</v>
          </cell>
          <cell r="T87">
            <v>89</v>
          </cell>
          <cell r="U87">
            <v>34</v>
          </cell>
          <cell r="V87">
            <v>65</v>
          </cell>
          <cell r="W87">
            <v>2</v>
          </cell>
          <cell r="X87">
            <v>4</v>
          </cell>
          <cell r="Y87">
            <v>5</v>
          </cell>
          <cell r="Z87">
            <v>20</v>
          </cell>
          <cell r="AA87">
            <v>9</v>
          </cell>
          <cell r="AB87">
            <v>53</v>
          </cell>
          <cell r="AC87">
            <v>65</v>
          </cell>
          <cell r="AD87">
            <v>13</v>
          </cell>
          <cell r="AE87">
            <v>61</v>
          </cell>
          <cell r="AF87">
            <v>10000000</v>
          </cell>
          <cell r="AG87">
            <v>10</v>
          </cell>
          <cell r="AH87">
            <v>10</v>
          </cell>
          <cell r="AI87">
            <v>29</v>
          </cell>
          <cell r="AJ87">
            <v>26</v>
          </cell>
          <cell r="AK87">
            <v>68</v>
          </cell>
          <cell r="AL87">
            <v>58</v>
          </cell>
          <cell r="AM87">
            <v>50</v>
          </cell>
        </row>
        <row r="88">
          <cell r="K88">
            <v>0</v>
          </cell>
          <cell r="L88">
            <v>29</v>
          </cell>
          <cell r="M88">
            <v>25</v>
          </cell>
          <cell r="N88">
            <v>1</v>
          </cell>
          <cell r="O88">
            <v>50</v>
          </cell>
          <cell r="P88">
            <v>2</v>
          </cell>
          <cell r="Q88">
            <v>32</v>
          </cell>
          <cell r="R88">
            <v>17</v>
          </cell>
          <cell r="S88">
            <v>5</v>
          </cell>
          <cell r="T88">
            <v>41</v>
          </cell>
          <cell r="U88">
            <v>16</v>
          </cell>
          <cell r="V88">
            <v>25</v>
          </cell>
          <cell r="W88">
            <v>16</v>
          </cell>
          <cell r="X88">
            <v>18</v>
          </cell>
          <cell r="Y88">
            <v>5</v>
          </cell>
          <cell r="Z88">
            <v>2</v>
          </cell>
          <cell r="AA88">
            <v>1</v>
          </cell>
          <cell r="AB88">
            <v>37</v>
          </cell>
          <cell r="AC88">
            <v>25</v>
          </cell>
          <cell r="AD88">
            <v>5</v>
          </cell>
          <cell r="AE88">
            <v>25</v>
          </cell>
          <cell r="AF88">
            <v>10</v>
          </cell>
          <cell r="AG88">
            <v>10000000</v>
          </cell>
          <cell r="AH88">
            <v>20</v>
          </cell>
          <cell r="AI88">
            <v>5</v>
          </cell>
          <cell r="AJ88">
            <v>4</v>
          </cell>
          <cell r="AK88">
            <v>26</v>
          </cell>
          <cell r="AL88">
            <v>20</v>
          </cell>
          <cell r="AM88">
            <v>52</v>
          </cell>
        </row>
        <row r="89">
          <cell r="K89">
            <v>20</v>
          </cell>
          <cell r="L89">
            <v>13</v>
          </cell>
          <cell r="M89">
            <v>85</v>
          </cell>
          <cell r="N89">
            <v>17</v>
          </cell>
          <cell r="O89">
            <v>90</v>
          </cell>
          <cell r="P89">
            <v>18</v>
          </cell>
          <cell r="Q89">
            <v>4</v>
          </cell>
          <cell r="R89">
            <v>65</v>
          </cell>
          <cell r="S89">
            <v>25</v>
          </cell>
          <cell r="T89">
            <v>85</v>
          </cell>
          <cell r="U89">
            <v>20</v>
          </cell>
          <cell r="V89">
            <v>85</v>
          </cell>
          <cell r="W89">
            <v>4</v>
          </cell>
          <cell r="X89">
            <v>26</v>
          </cell>
          <cell r="Y89">
            <v>25</v>
          </cell>
          <cell r="Z89">
            <v>26</v>
          </cell>
          <cell r="AA89">
            <v>25</v>
          </cell>
          <cell r="AB89">
            <v>25</v>
          </cell>
          <cell r="AC89">
            <v>85</v>
          </cell>
          <cell r="AD89">
            <v>9</v>
          </cell>
          <cell r="AE89">
            <v>53</v>
          </cell>
          <cell r="AF89">
            <v>10</v>
          </cell>
          <cell r="AG89">
            <v>20</v>
          </cell>
          <cell r="AH89">
            <v>10000000</v>
          </cell>
          <cell r="AI89">
            <v>37</v>
          </cell>
          <cell r="AJ89">
            <v>40</v>
          </cell>
          <cell r="AK89">
            <v>82</v>
          </cell>
          <cell r="AL89">
            <v>64</v>
          </cell>
          <cell r="AM89">
            <v>16</v>
          </cell>
        </row>
        <row r="90">
          <cell r="K90">
            <v>5</v>
          </cell>
          <cell r="L90">
            <v>32</v>
          </cell>
          <cell r="M90">
            <v>10</v>
          </cell>
          <cell r="N90">
            <v>4</v>
          </cell>
          <cell r="O90">
            <v>25</v>
          </cell>
          <cell r="P90">
            <v>13</v>
          </cell>
          <cell r="Q90">
            <v>45</v>
          </cell>
          <cell r="R90">
            <v>4</v>
          </cell>
          <cell r="S90">
            <v>18</v>
          </cell>
          <cell r="T90">
            <v>18</v>
          </cell>
          <cell r="U90">
            <v>13</v>
          </cell>
          <cell r="V90">
            <v>10</v>
          </cell>
          <cell r="W90">
            <v>37</v>
          </cell>
          <cell r="X90">
            <v>41</v>
          </cell>
          <cell r="Y90">
            <v>18</v>
          </cell>
          <cell r="Z90">
            <v>1</v>
          </cell>
          <cell r="AA90">
            <v>8</v>
          </cell>
          <cell r="AB90">
            <v>34</v>
          </cell>
          <cell r="AC90">
            <v>10</v>
          </cell>
          <cell r="AD90">
            <v>10</v>
          </cell>
          <cell r="AE90">
            <v>10</v>
          </cell>
          <cell r="AF90">
            <v>29</v>
          </cell>
          <cell r="AG90">
            <v>5</v>
          </cell>
          <cell r="AH90">
            <v>37</v>
          </cell>
          <cell r="AI90">
            <v>10000000</v>
          </cell>
          <cell r="AJ90">
            <v>1</v>
          </cell>
          <cell r="AK90">
            <v>9</v>
          </cell>
          <cell r="AL90">
            <v>5</v>
          </cell>
          <cell r="AM90">
            <v>61</v>
          </cell>
        </row>
        <row r="91">
          <cell r="K91">
            <v>4</v>
          </cell>
          <cell r="L91">
            <v>41</v>
          </cell>
          <cell r="M91">
            <v>9</v>
          </cell>
          <cell r="N91">
            <v>5</v>
          </cell>
          <cell r="O91">
            <v>34</v>
          </cell>
          <cell r="P91">
            <v>10</v>
          </cell>
          <cell r="Q91">
            <v>52</v>
          </cell>
          <cell r="R91">
            <v>5</v>
          </cell>
          <cell r="S91">
            <v>13</v>
          </cell>
          <cell r="T91">
            <v>25</v>
          </cell>
          <cell r="U91">
            <v>20</v>
          </cell>
          <cell r="V91">
            <v>9</v>
          </cell>
          <cell r="W91">
            <v>36</v>
          </cell>
          <cell r="X91">
            <v>34</v>
          </cell>
          <cell r="Y91">
            <v>13</v>
          </cell>
          <cell r="Z91">
            <v>2</v>
          </cell>
          <cell r="AA91">
            <v>5</v>
          </cell>
          <cell r="AB91">
            <v>45</v>
          </cell>
          <cell r="AC91">
            <v>9</v>
          </cell>
          <cell r="AD91">
            <v>13</v>
          </cell>
          <cell r="AE91">
            <v>17</v>
          </cell>
          <cell r="AF91">
            <v>26</v>
          </cell>
          <cell r="AG91">
            <v>4</v>
          </cell>
          <cell r="AH91">
            <v>40</v>
          </cell>
          <cell r="AI91">
            <v>1</v>
          </cell>
          <cell r="AJ91">
            <v>10000000</v>
          </cell>
          <cell r="AK91">
            <v>10</v>
          </cell>
          <cell r="AL91">
            <v>8</v>
          </cell>
          <cell r="AM91">
            <v>72</v>
          </cell>
        </row>
        <row r="92">
          <cell r="K92">
            <v>26</v>
          </cell>
          <cell r="L92">
            <v>65</v>
          </cell>
          <cell r="M92">
            <v>1</v>
          </cell>
          <cell r="N92">
            <v>25</v>
          </cell>
          <cell r="O92">
            <v>16</v>
          </cell>
          <cell r="P92">
            <v>40</v>
          </cell>
          <cell r="Q92">
            <v>90</v>
          </cell>
          <cell r="R92">
            <v>1</v>
          </cell>
          <cell r="S92">
            <v>45</v>
          </cell>
          <cell r="T92">
            <v>9</v>
          </cell>
          <cell r="U92">
            <v>34</v>
          </cell>
          <cell r="V92">
            <v>1</v>
          </cell>
          <cell r="W92">
            <v>82</v>
          </cell>
          <cell r="X92">
            <v>80</v>
          </cell>
          <cell r="Y92">
            <v>45</v>
          </cell>
          <cell r="Z92">
            <v>16</v>
          </cell>
          <cell r="AA92">
            <v>29</v>
          </cell>
          <cell r="AB92">
            <v>61</v>
          </cell>
          <cell r="AC92">
            <v>1</v>
          </cell>
          <cell r="AD92">
            <v>37</v>
          </cell>
          <cell r="AE92">
            <v>13</v>
          </cell>
          <cell r="AF92">
            <v>68</v>
          </cell>
          <cell r="AG92">
            <v>26</v>
          </cell>
          <cell r="AH92">
            <v>82</v>
          </cell>
          <cell r="AI92">
            <v>9</v>
          </cell>
          <cell r="AJ92">
            <v>10</v>
          </cell>
          <cell r="AK92">
            <v>10000000</v>
          </cell>
          <cell r="AL92">
            <v>2</v>
          </cell>
          <cell r="AM92">
            <v>106</v>
          </cell>
        </row>
        <row r="93">
          <cell r="K93">
            <v>20</v>
          </cell>
          <cell r="L93">
            <v>45</v>
          </cell>
          <cell r="M93">
            <v>5</v>
          </cell>
          <cell r="N93">
            <v>17</v>
          </cell>
          <cell r="O93">
            <v>10</v>
          </cell>
          <cell r="P93">
            <v>34</v>
          </cell>
          <cell r="Q93">
            <v>68</v>
          </cell>
          <cell r="R93">
            <v>1</v>
          </cell>
          <cell r="S93">
            <v>41</v>
          </cell>
          <cell r="T93">
            <v>5</v>
          </cell>
          <cell r="U93">
            <v>20</v>
          </cell>
          <cell r="V93">
            <v>5</v>
          </cell>
          <cell r="W93">
            <v>68</v>
          </cell>
          <cell r="X93">
            <v>74</v>
          </cell>
          <cell r="Y93">
            <v>41</v>
          </cell>
          <cell r="Z93">
            <v>10</v>
          </cell>
          <cell r="AA93">
            <v>25</v>
          </cell>
          <cell r="AB93">
            <v>41</v>
          </cell>
          <cell r="AC93">
            <v>5</v>
          </cell>
          <cell r="AD93">
            <v>25</v>
          </cell>
          <cell r="AE93">
            <v>5</v>
          </cell>
          <cell r="AF93">
            <v>58</v>
          </cell>
          <cell r="AG93">
            <v>20</v>
          </cell>
          <cell r="AH93">
            <v>64</v>
          </cell>
          <cell r="AI93">
            <v>5</v>
          </cell>
          <cell r="AJ93">
            <v>8</v>
          </cell>
          <cell r="AK93">
            <v>2</v>
          </cell>
          <cell r="AL93">
            <v>10000000</v>
          </cell>
          <cell r="AM93">
            <v>80</v>
          </cell>
        </row>
        <row r="94">
          <cell r="K94">
            <v>52</v>
          </cell>
          <cell r="L94">
            <v>5</v>
          </cell>
          <cell r="M94">
            <v>117</v>
          </cell>
          <cell r="N94">
            <v>41</v>
          </cell>
          <cell r="O94">
            <v>82</v>
          </cell>
          <cell r="P94">
            <v>58</v>
          </cell>
          <cell r="Q94">
            <v>4</v>
          </cell>
          <cell r="R94">
            <v>89</v>
          </cell>
          <cell r="S94">
            <v>73</v>
          </cell>
          <cell r="T94">
            <v>85</v>
          </cell>
          <cell r="U94">
            <v>20</v>
          </cell>
          <cell r="V94">
            <v>117</v>
          </cell>
          <cell r="W94">
            <v>36</v>
          </cell>
          <cell r="X94">
            <v>82</v>
          </cell>
          <cell r="Y94">
            <v>73</v>
          </cell>
          <cell r="Z94">
            <v>50</v>
          </cell>
          <cell r="AA94">
            <v>65</v>
          </cell>
          <cell r="AB94">
            <v>9</v>
          </cell>
          <cell r="AC94">
            <v>117</v>
          </cell>
          <cell r="AD94">
            <v>25</v>
          </cell>
          <cell r="AE94">
            <v>53</v>
          </cell>
          <cell r="AF94">
            <v>50</v>
          </cell>
          <cell r="AG94">
            <v>52</v>
          </cell>
          <cell r="AH94">
            <v>16</v>
          </cell>
          <cell r="AI94">
            <v>61</v>
          </cell>
          <cell r="AJ94">
            <v>72</v>
          </cell>
          <cell r="AK94">
            <v>106</v>
          </cell>
          <cell r="AL94">
            <v>80</v>
          </cell>
          <cell r="AM94">
            <v>10000000</v>
          </cell>
        </row>
      </sheetData>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k Alexander N01665" refreshedDate="45920.691985879632" createdVersion="8" refreshedVersion="8" minRefreshableVersion="3" recordCount="51" xr:uid="{F4194105-EA96-4788-890D-38BA28FB5F38}">
  <cacheSource type="worksheet">
    <worksheetSource name="Table9"/>
  </cacheSource>
  <cacheFields count="5">
    <cacheField name="Year" numFmtId="0">
      <sharedItems containsString="0" containsBlank="1" containsNumber="1" containsInteger="1" minValue="2010" maxValue="2019" count="11">
        <n v="2010"/>
        <n v="2011"/>
        <n v="2012"/>
        <n v="2013"/>
        <n v="2014"/>
        <n v="2015"/>
        <n v="2016"/>
        <n v="2017"/>
        <m/>
        <n v="2018"/>
        <n v="2019"/>
      </sharedItems>
    </cacheField>
    <cacheField name="Product" numFmtId="0">
      <sharedItems count="12">
        <s v="Product 1"/>
        <s v="Product 2"/>
        <s v="Product 3"/>
        <s v="Product 4"/>
        <s v="Product 5"/>
        <s v="Product 2    "/>
        <s v="Product 5    "/>
        <s v="  Product 1"/>
        <s v="   Product 4"/>
        <s v="  Product 2"/>
        <s v="Product 3   "/>
        <s v="  Product 5"/>
      </sharedItems>
    </cacheField>
    <cacheField name="Annual Revenue" numFmtId="0">
      <sharedItems containsString="0" containsBlank="1" containsNumber="1" minValue="12450" maxValue="492823" count="51">
        <n v="12450"/>
        <n v="235888"/>
        <n v="145318"/>
        <n v="438170"/>
        <n v="132408"/>
        <n v="24900"/>
        <n v="203024"/>
        <n v="98046"/>
        <n v="411879.8"/>
        <n v="125473"/>
        <n v="49800"/>
        <n v="226570"/>
        <n v="120729"/>
        <n v="387167.01199999999"/>
        <n v="134296"/>
        <n v="99600"/>
        <n v="246739"/>
        <n v="159714"/>
        <n v="352321.98092"/>
        <n v="128478"/>
        <n v="199200"/>
        <n v="224898"/>
        <n v="153627"/>
        <n v="324136.22244639997"/>
        <n v="123742"/>
        <n v="398400"/>
        <n v="250680"/>
        <n v="127689"/>
        <n v="307929.41132407996"/>
        <n v="129465"/>
        <n v="426732"/>
        <n v="209309"/>
        <n v="103829"/>
        <n v="274057.17607843119"/>
        <n v="130720"/>
        <n v="452782"/>
        <n v="235713"/>
        <n v="163953"/>
        <m/>
        <n v="249392.0302313724"/>
        <n v="127120"/>
        <n v="478123"/>
        <n v="232016"/>
        <n v="131279"/>
        <n v="221958.90690592144"/>
        <n v="138274"/>
        <n v="492823"/>
        <n v="210222"/>
        <n v="156634"/>
        <n v="199763.01621532929"/>
        <n v="131792"/>
      </sharedItems>
    </cacheField>
    <cacheField name="Annual Profit" numFmtId="0">
      <sharedItems containsString="0" containsBlank="1" containsNumber="1" minValue="-30324" maxValue="108352"/>
    </cacheField>
    <cacheField name="Segment Market Share" numFmtId="0">
      <sharedItems containsSemiMixedTypes="0" containsString="0" containsNumber="1" minValue="0.02" maxValue="1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k Alexander N01665" refreshedDate="45920.747500925929" createdVersion="8" refreshedVersion="8" minRefreshableVersion="3" recordCount="51" xr:uid="{234A0A5E-3191-4372-A58A-B8E0BC008524}">
  <cacheSource type="worksheet">
    <worksheetSource ref="A98:F149" sheet="Visualization Data"/>
  </cacheSource>
  <cacheFields count="6">
    <cacheField name="Year" numFmtId="0">
      <sharedItems containsString="0" containsBlank="1" containsNumber="1" containsInteger="1" minValue="2010" maxValue="2019"/>
    </cacheField>
    <cacheField name="Product" numFmtId="0">
      <sharedItems count="12">
        <s v="Product 1"/>
        <s v="Product 2"/>
        <s v="Product 3"/>
        <s v="Product 4"/>
        <s v="Product 5"/>
        <s v="Product 2    "/>
        <s v="Product 5    "/>
        <s v="  Product 1"/>
        <s v="   Product 4"/>
        <s v="  Product 2"/>
        <s v="Product 3   "/>
        <s v="  Product 5"/>
      </sharedItems>
    </cacheField>
    <cacheField name="Annual Revenue" numFmtId="0">
      <sharedItems containsString="0" containsBlank="1" containsNumber="1" minValue="12450" maxValue="492823"/>
    </cacheField>
    <cacheField name="Annual Profit" numFmtId="0">
      <sharedItems containsString="0" containsBlank="1" containsNumber="1" minValue="-30324" maxValue="108352"/>
    </cacheField>
    <cacheField name="Segment Market Share" numFmtId="0">
      <sharedItems containsSemiMixedTypes="0" containsString="0" containsNumber="1" minValue="0.02" maxValue="16"/>
    </cacheField>
    <cacheField name="Profit Margin" numFmtId="0">
      <sharedItems containsMixedTypes="1" containsNumber="1" minValue="-1.8945381526104417" maxValue="0.3333333333333333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k Alexander N01665" refreshedDate="45920.828290393518" createdVersion="8" refreshedVersion="8" minRefreshableVersion="3" recordCount="119" xr:uid="{387B5EA0-D067-4B85-BDB5-1DD76AEA61CB}">
  <cacheSource type="worksheet">
    <worksheetSource ref="B1:N120" sheet="Merged_soap"/>
  </cacheSource>
  <cacheFields count="13">
    <cacheField name="Purchase_No" numFmtId="0">
      <sharedItems containsSemiMixedTypes="0" containsString="0" containsNumber="1" containsInteger="1" minValue="2212" maxValue="2329"/>
    </cacheField>
    <cacheField name="Cust_ID" numFmtId="0">
      <sharedItems containsSemiMixedTypes="0" containsString="0" containsNumber="1" containsInteger="1" minValue="2" maxValue="297"/>
    </cacheField>
    <cacheField name="Soap Purchased" numFmtId="0">
      <sharedItems count="2">
        <s v="Soap B"/>
        <s v="Soap A"/>
      </sharedItems>
    </cacheField>
    <cacheField name="Soap Units Purchased" numFmtId="0">
      <sharedItems containsSemiMixedTypes="0" containsString="0" containsNumber="1" containsInteger="1" minValue="0" maxValue="10"/>
    </cacheField>
    <cacheField name="Unit Cost" numFmtId="0">
      <sharedItems containsSemiMixedTypes="0" containsString="0" containsNumber="1" minValue="1" maxValue="1.5"/>
    </cacheField>
    <cacheField name="Sales Price" numFmtId="0">
      <sharedItems containsSemiMixedTypes="0" containsString="0" containsNumber="1" minValue="2" maxValue="3.5" count="5">
        <n v="3.5"/>
        <n v="3"/>
        <n v="2.5"/>
        <n v="2.2999999999999998"/>
        <n v="2"/>
      </sharedItems>
    </cacheField>
    <cacheField name="Lotion Purchased" numFmtId="0">
      <sharedItems containsSemiMixedTypes="0" containsString="0" containsNumber="1" containsInteger="1" minValue="0" maxValue="5"/>
    </cacheField>
    <cacheField name="Age" numFmtId="0">
      <sharedItems containsSemiMixedTypes="0" containsString="0" containsNumber="1" containsInteger="1" minValue="1" maxValue="7"/>
    </cacheField>
    <cacheField name="Gender" numFmtId="0">
      <sharedItems containsBlank="1"/>
    </cacheField>
    <cacheField name="Income" numFmtId="0">
      <sharedItems containsSemiMixedTypes="0" containsString="0" containsNumber="1" containsInteger="1" minValue="1" maxValue="7"/>
    </cacheField>
    <cacheField name="Soap Ingredience" numFmtId="0">
      <sharedItems containsSemiMixedTypes="0" containsString="0" containsNumber="1" containsInteger="1" minValue="1" maxValue="7"/>
    </cacheField>
    <cacheField name="Soap Fragrance" numFmtId="0">
      <sharedItems containsSemiMixedTypes="0" containsString="0" containsNumber="1" containsInteger="1" minValue="1" maxValue="7"/>
    </cacheField>
    <cacheField name="Soap Purchase_ID"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k Alexander N01665" refreshedDate="45920.847586111115" createdVersion="8" refreshedVersion="8" minRefreshableVersion="3" recordCount="119" xr:uid="{31B2FEC4-6DDE-4DD9-9439-1372BE84FB89}">
  <cacheSource type="worksheet">
    <worksheetSource ref="A1:M120" sheet="(d)"/>
  </cacheSource>
  <cacheFields count="13">
    <cacheField name="Purchase_No" numFmtId="0">
      <sharedItems containsSemiMixedTypes="0" containsString="0" containsNumber="1" containsInteger="1" minValue="2212" maxValue="2329"/>
    </cacheField>
    <cacheField name="Cust_ID" numFmtId="0">
      <sharedItems containsSemiMixedTypes="0" containsString="0" containsNumber="1" containsInteger="1" minValue="2" maxValue="297"/>
    </cacheField>
    <cacheField name="Soap Purchased" numFmtId="0">
      <sharedItems count="2">
        <s v="Soap B"/>
        <s v="Soap A"/>
      </sharedItems>
    </cacheField>
    <cacheField name="Soap Units Purchased" numFmtId="0">
      <sharedItems containsSemiMixedTypes="0" containsString="0" containsNumber="1" containsInteger="1" minValue="0" maxValue="10" count="11">
        <n v="1"/>
        <n v="6"/>
        <n v="8"/>
        <n v="9"/>
        <n v="7"/>
        <n v="4"/>
        <n v="5"/>
        <n v="2"/>
        <n v="0"/>
        <n v="10"/>
        <n v="3"/>
      </sharedItems>
    </cacheField>
    <cacheField name="Unit Cost" numFmtId="0">
      <sharedItems containsSemiMixedTypes="0" containsString="0" containsNumber="1" minValue="1" maxValue="1.5"/>
    </cacheField>
    <cacheField name="Sales Price" numFmtId="0">
      <sharedItems containsSemiMixedTypes="0" containsString="0" containsNumber="1" minValue="2" maxValue="3.5" count="5">
        <n v="3.5"/>
        <n v="3"/>
        <n v="2.5"/>
        <n v="2.2999999999999998"/>
        <n v="2"/>
      </sharedItems>
    </cacheField>
    <cacheField name="Lotion Purchased" numFmtId="0">
      <sharedItems containsSemiMixedTypes="0" containsString="0" containsNumber="1" containsInteger="1" minValue="0" maxValue="5" count="6">
        <n v="1"/>
        <n v="3"/>
        <n v="4"/>
        <n v="5"/>
        <n v="2"/>
        <n v="0"/>
      </sharedItems>
    </cacheField>
    <cacheField name="Age" numFmtId="0">
      <sharedItems containsSemiMixedTypes="0" containsString="0" containsNumber="1" containsInteger="1" minValue="1" maxValue="7"/>
    </cacheField>
    <cacheField name="Gender" numFmtId="0">
      <sharedItems containsBlank="1"/>
    </cacheField>
    <cacheField name="Income" numFmtId="0">
      <sharedItems containsSemiMixedTypes="0" containsString="0" containsNumber="1" containsInteger="1" minValue="1" maxValue="7"/>
    </cacheField>
    <cacheField name="Soap Ingredience" numFmtId="0">
      <sharedItems containsSemiMixedTypes="0" containsString="0" containsNumber="1" containsInteger="1" minValue="1" maxValue="7"/>
    </cacheField>
    <cacheField name="Soap Fragrance" numFmtId="0">
      <sharedItems containsSemiMixedTypes="0" containsString="0" containsNumber="1" containsInteger="1" minValue="1" maxValue="7"/>
    </cacheField>
    <cacheField name="Soap Purchase_ID"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k Alexander N01665" refreshedDate="45920.857706944444" createdVersion="8" refreshedVersion="8" minRefreshableVersion="3" recordCount="119" xr:uid="{089D8C6D-1023-43AD-A060-C20D04309911}">
  <cacheSource type="worksheet">
    <worksheetSource ref="B1:M120" sheet="(d)"/>
  </cacheSource>
  <cacheFields count="12">
    <cacheField name="Cust_ID" numFmtId="0">
      <sharedItems containsSemiMixedTypes="0" containsString="0" containsNumber="1" containsInteger="1" minValue="2" maxValue="297"/>
    </cacheField>
    <cacheField name="Soap Purchased" numFmtId="0">
      <sharedItems count="2">
        <s v="Soap B"/>
        <s v="Soap A"/>
      </sharedItems>
    </cacheField>
    <cacheField name="Soap Units Purchased" numFmtId="0">
      <sharedItems containsSemiMixedTypes="0" containsString="0" containsNumber="1" containsInteger="1" minValue="0" maxValue="10"/>
    </cacheField>
    <cacheField name="Unit Cost" numFmtId="0">
      <sharedItems containsSemiMixedTypes="0" containsString="0" containsNumber="1" minValue="1" maxValue="1.5"/>
    </cacheField>
    <cacheField name="Sales Price" numFmtId="0">
      <sharedItems containsSemiMixedTypes="0" containsString="0" containsNumber="1" minValue="2" maxValue="3.5"/>
    </cacheField>
    <cacheField name="Lotion Purchased" numFmtId="0">
      <sharedItems containsSemiMixedTypes="0" containsString="0" containsNumber="1" containsInteger="1" minValue="0" maxValue="5"/>
    </cacheField>
    <cacheField name="Age" numFmtId="0">
      <sharedItems containsSemiMixedTypes="0" containsString="0" containsNumber="1" containsInteger="1" minValue="1" maxValue="7"/>
    </cacheField>
    <cacheField name="Gender" numFmtId="0">
      <sharedItems containsBlank="1"/>
    </cacheField>
    <cacheField name="Income" numFmtId="0">
      <sharedItems containsSemiMixedTypes="0" containsString="0" containsNumber="1" containsInteger="1" minValue="1" maxValue="7"/>
    </cacheField>
    <cacheField name="Soap Ingredience" numFmtId="0">
      <sharedItems containsSemiMixedTypes="0" containsString="0" containsNumber="1" containsInteger="1" minValue="1" maxValue="7"/>
    </cacheField>
    <cacheField name="Soap Fragrance" numFmtId="0">
      <sharedItems containsSemiMixedTypes="0" containsString="0" containsNumber="1" containsInteger="1" minValue="1" maxValue="7"/>
    </cacheField>
    <cacheField name="Soap Purchase_ID"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x v="0"/>
    <n v="-23587"/>
    <n v="0.02"/>
  </r>
  <r>
    <x v="0"/>
    <x v="1"/>
    <x v="1"/>
    <n v="63823"/>
    <n v="0.05"/>
  </r>
  <r>
    <x v="0"/>
    <x v="2"/>
    <x v="2"/>
    <n v="-30324"/>
    <n v="0.13"/>
  </r>
  <r>
    <x v="0"/>
    <x v="3"/>
    <x v="3"/>
    <n v="52580.4"/>
    <n v="0.18"/>
  </r>
  <r>
    <x v="0"/>
    <x v="4"/>
    <x v="4"/>
    <n v="26481.600000000002"/>
    <n v="0.11"/>
  </r>
  <r>
    <x v="1"/>
    <x v="0"/>
    <x v="5"/>
    <n v="-10341"/>
    <n v="0.04"/>
  </r>
  <r>
    <x v="1"/>
    <x v="1"/>
    <x v="6"/>
    <n v="60289"/>
    <n v="7.0000000000000007E-2"/>
  </r>
  <r>
    <x v="1"/>
    <x v="2"/>
    <x v="7"/>
    <n v="-28634"/>
    <n v="0.13"/>
  </r>
  <r>
    <x v="1"/>
    <x v="3"/>
    <x v="8"/>
    <n v="49425.576000000001"/>
    <n v="0.17099999999999999"/>
  </r>
  <r>
    <x v="1"/>
    <x v="4"/>
    <x v="9"/>
    <n v="31368.25"/>
    <n v="0.09"/>
  </r>
  <r>
    <x v="2"/>
    <x v="0"/>
    <x v="10"/>
    <n v="-1943"/>
    <n v="7.0000000000000007E-2"/>
  </r>
  <r>
    <x v="2"/>
    <x v="5"/>
    <x v="11"/>
    <n v="61902"/>
    <n v="0.04"/>
  </r>
  <r>
    <x v="2"/>
    <x v="2"/>
    <x v="12"/>
    <n v="-21015"/>
    <n v="0.13"/>
  </r>
  <r>
    <x v="2"/>
    <x v="3"/>
    <x v="13"/>
    <n v="46460.041440000001"/>
    <n v="0.16244999999999998"/>
  </r>
  <r>
    <x v="2"/>
    <x v="6"/>
    <x v="14"/>
    <n v="44765.333333333328"/>
    <n v="0.12"/>
  </r>
  <r>
    <x v="3"/>
    <x v="0"/>
    <x v="15"/>
    <n v="11632"/>
    <n v="0.13"/>
  </r>
  <r>
    <x v="3"/>
    <x v="1"/>
    <x v="16"/>
    <n v="62340"/>
    <n v="0.06"/>
  </r>
  <r>
    <x v="3"/>
    <x v="2"/>
    <x v="17"/>
    <n v="8025"/>
    <n v="0.14000000000000001"/>
  </r>
  <r>
    <x v="3"/>
    <x v="3"/>
    <x v="18"/>
    <n v="42278.637710399998"/>
    <n v="0.15432749999999998"/>
  </r>
  <r>
    <x v="3"/>
    <x v="4"/>
    <x v="19"/>
    <n v="25695.600000000002"/>
    <n v="0.1"/>
  </r>
  <r>
    <x v="4"/>
    <x v="7"/>
    <x v="20"/>
    <n v="20576"/>
    <n v="16"/>
  </r>
  <r>
    <x v="4"/>
    <x v="1"/>
    <x v="21"/>
    <n v="59786"/>
    <n v="0.06"/>
  </r>
  <r>
    <x v="4"/>
    <x v="2"/>
    <x v="22"/>
    <n v="-1171"/>
    <n v="0.12"/>
  </r>
  <r>
    <x v="4"/>
    <x v="8"/>
    <x v="23"/>
    <n v="39741.919447775996"/>
    <n v="0.14043802499999997"/>
  </r>
  <r>
    <x v="4"/>
    <x v="4"/>
    <x v="24"/>
    <n v="30935.5"/>
    <n v="7"/>
  </r>
  <r>
    <x v="5"/>
    <x v="0"/>
    <x v="25"/>
    <n v="43734"/>
    <n v="0.18"/>
  </r>
  <r>
    <x v="5"/>
    <x v="9"/>
    <x v="26"/>
    <n v="61864"/>
    <n v="0.04"/>
  </r>
  <r>
    <x v="5"/>
    <x v="10"/>
    <x v="27"/>
    <n v="6401"/>
    <n v="0.14000000000000001"/>
  </r>
  <r>
    <x v="5"/>
    <x v="3"/>
    <x v="28"/>
    <n v="36165.146697476157"/>
    <n v="0.12920298299999997"/>
  </r>
  <r>
    <x v="5"/>
    <x v="4"/>
    <x v="29"/>
    <n v="43155"/>
    <n v="0.1045"/>
  </r>
  <r>
    <x v="6"/>
    <x v="0"/>
    <x v="30"/>
    <n v="60182"/>
    <n v="0.19"/>
  </r>
  <r>
    <x v="6"/>
    <x v="1"/>
    <x v="31"/>
    <n v="58234"/>
    <n v="0.05"/>
  </r>
  <r>
    <x v="6"/>
    <x v="2"/>
    <x v="32"/>
    <n v="-14651"/>
    <n v="0.13"/>
  </r>
  <r>
    <x v="6"/>
    <x v="3"/>
    <x v="33"/>
    <n v="33271.934961678067"/>
    <n v="0.11499065486999997"/>
  </r>
  <r>
    <x v="6"/>
    <x v="11"/>
    <x v="34"/>
    <n v="32680"/>
    <n v="0.1138"/>
  </r>
  <r>
    <x v="7"/>
    <x v="0"/>
    <x v="35"/>
    <n v="83812"/>
    <n v="0.17"/>
  </r>
  <r>
    <x v="7"/>
    <x v="1"/>
    <x v="36"/>
    <n v="62890"/>
    <n v="0.05"/>
  </r>
  <r>
    <x v="7"/>
    <x v="2"/>
    <x v="37"/>
    <n v="5007"/>
    <n v="10"/>
  </r>
  <r>
    <x v="8"/>
    <x v="2"/>
    <x v="38"/>
    <m/>
    <n v="0.13"/>
  </r>
  <r>
    <x v="7"/>
    <x v="3"/>
    <x v="39"/>
    <n v="30610.180164743822"/>
    <n v="0.10349158938299997"/>
  </r>
  <r>
    <x v="7"/>
    <x v="4"/>
    <x v="40"/>
    <n v="31780"/>
    <n v="9.7600000000000006E-2"/>
  </r>
  <r>
    <x v="9"/>
    <x v="0"/>
    <x v="41"/>
    <n v="93672"/>
    <n v="0.2"/>
  </r>
  <r>
    <x v="9"/>
    <x v="1"/>
    <x v="42"/>
    <n v="63276"/>
    <n v="0.06"/>
  </r>
  <r>
    <x v="9"/>
    <x v="2"/>
    <x v="43"/>
    <n v="10446"/>
    <n v="0.14000000000000001"/>
  </r>
  <r>
    <x v="9"/>
    <x v="3"/>
    <x v="44"/>
    <n v="27243.060346622002"/>
    <n v="9.2107514550869976E-2"/>
  </r>
  <r>
    <x v="9"/>
    <x v="4"/>
    <x v="45"/>
    <n v="34568.5"/>
    <n v="0.14000000000000001"/>
  </r>
  <r>
    <x v="10"/>
    <x v="0"/>
    <x v="46"/>
    <n v="108352"/>
    <n v="0.19"/>
  </r>
  <r>
    <x v="10"/>
    <x v="1"/>
    <x v="47"/>
    <n v="60780"/>
    <n v="0.04"/>
  </r>
  <r>
    <x v="10"/>
    <x v="2"/>
    <x v="48"/>
    <n v="-23359"/>
    <n v="0.13"/>
  </r>
  <r>
    <x v="10"/>
    <x v="3"/>
    <x v="49"/>
    <n v="25063.615518892242"/>
    <n v="8.1975687950274281E-2"/>
  </r>
  <r>
    <x v="10"/>
    <x v="4"/>
    <x v="50"/>
    <n v="43930.666666666664"/>
    <n v="0.10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2010"/>
    <x v="0"/>
    <n v="12450"/>
    <n v="-23587"/>
    <n v="0.02"/>
    <n v="-1.8945381526104417"/>
  </r>
  <r>
    <n v="2010"/>
    <x v="1"/>
    <n v="235888"/>
    <n v="63823"/>
    <n v="0.05"/>
    <n v="0.27056484433290373"/>
  </r>
  <r>
    <n v="2010"/>
    <x v="2"/>
    <n v="145318"/>
    <n v="-30324"/>
    <n v="0.13"/>
    <n v="-0.20867339214687788"/>
  </r>
  <r>
    <n v="2010"/>
    <x v="3"/>
    <n v="438170"/>
    <n v="52580.4"/>
    <n v="0.18"/>
    <n v="0.12000000000000001"/>
  </r>
  <r>
    <n v="2010"/>
    <x v="4"/>
    <n v="132408"/>
    <n v="26481.600000000002"/>
    <n v="0.11"/>
    <n v="0.2"/>
  </r>
  <r>
    <n v="2011"/>
    <x v="0"/>
    <n v="24900"/>
    <n v="-10341"/>
    <n v="0.04"/>
    <n v="-0.41530120481927713"/>
  </r>
  <r>
    <n v="2011"/>
    <x v="1"/>
    <n v="203024"/>
    <n v="60289"/>
    <n v="7.0000000000000007E-2"/>
    <n v="0.29695503979825044"/>
  </r>
  <r>
    <n v="2011"/>
    <x v="2"/>
    <n v="98046"/>
    <n v="-28634"/>
    <n v="0.13"/>
    <n v="-0.29204659037594599"/>
  </r>
  <r>
    <n v="2011"/>
    <x v="3"/>
    <n v="411879.8"/>
    <n v="49425.576000000001"/>
    <n v="0.17099999999999999"/>
    <n v="0.12000000000000001"/>
  </r>
  <r>
    <n v="2011"/>
    <x v="4"/>
    <n v="125473"/>
    <n v="31368.25"/>
    <n v="0.09"/>
    <n v="0.25"/>
  </r>
  <r>
    <n v="2012"/>
    <x v="0"/>
    <n v="49800"/>
    <n v="-1943"/>
    <n v="7.0000000000000007E-2"/>
    <n v="-3.901606425702811E-2"/>
  </r>
  <r>
    <n v="2012"/>
    <x v="5"/>
    <n v="226570"/>
    <n v="61902"/>
    <n v="0.04"/>
    <n v="0.27321357637816129"/>
  </r>
  <r>
    <n v="2012"/>
    <x v="2"/>
    <n v="120729"/>
    <n v="-21015"/>
    <n v="0.13"/>
    <n v="-0.1740675396963447"/>
  </r>
  <r>
    <n v="2012"/>
    <x v="3"/>
    <n v="387167.01199999999"/>
    <n v="46460.041440000001"/>
    <n v="0.16244999999999998"/>
    <n v="0.12000000000000001"/>
  </r>
  <r>
    <n v="2012"/>
    <x v="6"/>
    <n v="134296"/>
    <n v="44765.333333333328"/>
    <n v="0.12"/>
    <n v="0.33333333333333331"/>
  </r>
  <r>
    <n v="2013"/>
    <x v="0"/>
    <n v="99600"/>
    <n v="11632"/>
    <n v="0.13"/>
    <n v="0.11678714859437751"/>
  </r>
  <r>
    <n v="2013"/>
    <x v="1"/>
    <n v="246739"/>
    <n v="62340"/>
    <n v="0.06"/>
    <n v="0.25265564017038245"/>
  </r>
  <r>
    <n v="2013"/>
    <x v="2"/>
    <n v="159714"/>
    <n v="8025"/>
    <n v="0.14000000000000001"/>
    <n v="5.0246064840903111E-2"/>
  </r>
  <r>
    <n v="2013"/>
    <x v="3"/>
    <n v="352321.98092"/>
    <n v="42278.637710399998"/>
    <n v="0.15432749999999998"/>
    <n v="0.12"/>
  </r>
  <r>
    <n v="2013"/>
    <x v="4"/>
    <n v="128478"/>
    <n v="25695.600000000002"/>
    <n v="0.1"/>
    <n v="0.2"/>
  </r>
  <r>
    <n v="2014"/>
    <x v="7"/>
    <n v="199200"/>
    <n v="20576"/>
    <n v="16"/>
    <n v="0.10329317269076305"/>
  </r>
  <r>
    <n v="2014"/>
    <x v="1"/>
    <n v="224898"/>
    <n v="59786"/>
    <n v="0.06"/>
    <n v="0.26583606790633979"/>
  </r>
  <r>
    <n v="2014"/>
    <x v="2"/>
    <n v="153627"/>
    <n v="-1171"/>
    <n v="0.12"/>
    <n v="-7.6223580490408591E-3"/>
  </r>
  <r>
    <n v="2014"/>
    <x v="8"/>
    <n v="324136.22244639997"/>
    <n v="39741.919447775996"/>
    <n v="0.14043802499999997"/>
    <n v="0.12260869565217392"/>
  </r>
  <r>
    <n v="2014"/>
    <x v="4"/>
    <n v="123742"/>
    <n v="30935.5"/>
    <n v="7"/>
    <n v="0.25"/>
  </r>
  <r>
    <n v="2015"/>
    <x v="0"/>
    <n v="398400"/>
    <n v="43734"/>
    <n v="0.18"/>
    <n v="0.10977409638554217"/>
  </r>
  <r>
    <n v="2015"/>
    <x v="9"/>
    <n v="250680"/>
    <n v="61864"/>
    <n v="0.04"/>
    <n v="0.24678474549226104"/>
  </r>
  <r>
    <n v="2015"/>
    <x v="10"/>
    <n v="127689"/>
    <n v="6401"/>
    <n v="0.14000000000000001"/>
    <n v="5.0129611791148804E-2"/>
  </r>
  <r>
    <n v="2015"/>
    <x v="3"/>
    <n v="307929.41132407996"/>
    <n v="36165.146697476157"/>
    <n v="0.12920298299999997"/>
    <n v="0.11744622425629291"/>
  </r>
  <r>
    <n v="2015"/>
    <x v="4"/>
    <n v="129465"/>
    <n v="43155"/>
    <n v="0.1045"/>
    <n v="0.33333333333333331"/>
  </r>
  <r>
    <n v="2016"/>
    <x v="0"/>
    <n v="426732"/>
    <n v="60182"/>
    <n v="0.19"/>
    <n v="0.1410299672862593"/>
  </r>
  <r>
    <n v="2016"/>
    <x v="1"/>
    <n v="209309"/>
    <n v="58234"/>
    <n v="0.05"/>
    <n v="0.27822023897682374"/>
  </r>
  <r>
    <n v="2016"/>
    <x v="2"/>
    <n v="103829"/>
    <n v="-14651"/>
    <n v="0.13"/>
    <n v="-0.14110701249169308"/>
  </r>
  <r>
    <n v="2016"/>
    <x v="3"/>
    <n v="274057.17607843119"/>
    <n v="33271.934961678067"/>
    <n v="0.11499065486999997"/>
    <n v="0.12140508574807807"/>
  </r>
  <r>
    <n v="2016"/>
    <x v="11"/>
    <n v="130720"/>
    <n v="32680"/>
    <n v="0.1138"/>
    <n v="0.25"/>
  </r>
  <r>
    <n v="2017"/>
    <x v="0"/>
    <n v="452782"/>
    <n v="83812"/>
    <n v="0.17"/>
    <n v="0.18510453154056478"/>
  </r>
  <r>
    <n v="2017"/>
    <x v="1"/>
    <n v="235713"/>
    <n v="62890"/>
    <n v="0.05"/>
    <n v="0.2668075159197838"/>
  </r>
  <r>
    <n v="2017"/>
    <x v="2"/>
    <n v="163953"/>
    <n v="5007"/>
    <n v="10"/>
    <n v="3.0539239904118862E-2"/>
  </r>
  <r>
    <m/>
    <x v="2"/>
    <m/>
    <m/>
    <n v="0.13"/>
    <e v="#DIV/0!"/>
  </r>
  <r>
    <n v="2017"/>
    <x v="3"/>
    <n v="249392.0302313724"/>
    <n v="30610.180164743822"/>
    <n v="0.10349158938299997"/>
    <n v="0.12273920756948552"/>
  </r>
  <r>
    <n v="2017"/>
    <x v="4"/>
    <n v="127120"/>
    <n v="31780"/>
    <n v="9.7600000000000006E-2"/>
    <n v="0.25"/>
  </r>
  <r>
    <n v="2018"/>
    <x v="0"/>
    <n v="478123"/>
    <n v="93672"/>
    <n v="0.2"/>
    <n v="0.1959161136360309"/>
  </r>
  <r>
    <n v="2018"/>
    <x v="1"/>
    <n v="232016"/>
    <n v="63276"/>
    <n v="0.06"/>
    <n v="0.27272257085718227"/>
  </r>
  <r>
    <n v="2018"/>
    <x v="2"/>
    <n v="131279"/>
    <n v="10446"/>
    <n v="0.14000000000000001"/>
    <n v="7.9570990028869817E-2"/>
  </r>
  <r>
    <n v="2018"/>
    <x v="3"/>
    <n v="221958.90690592144"/>
    <n v="27243.060346622002"/>
    <n v="9.2107514550869976E-2"/>
    <n v="0.1227392075694855"/>
  </r>
  <r>
    <n v="2018"/>
    <x v="4"/>
    <n v="138274"/>
    <n v="34568.5"/>
    <n v="0.14000000000000001"/>
    <n v="0.25"/>
  </r>
  <r>
    <n v="2019"/>
    <x v="0"/>
    <n v="492823"/>
    <n v="108352"/>
    <n v="0.19"/>
    <n v="0.21985986855321282"/>
  </r>
  <r>
    <n v="2019"/>
    <x v="1"/>
    <n v="210222"/>
    <n v="60780"/>
    <n v="0.04"/>
    <n v="0.28912292719125499"/>
  </r>
  <r>
    <n v="2019"/>
    <x v="2"/>
    <n v="156634"/>
    <n v="-23359"/>
    <n v="0.13"/>
    <n v="-0.14913109541989605"/>
  </r>
  <r>
    <n v="2019"/>
    <x v="3"/>
    <n v="199763.01621532929"/>
    <n v="25063.615518892242"/>
    <n v="8.1975687950274281E-2"/>
    <n v="0.12546674551547407"/>
  </r>
  <r>
    <n v="2019"/>
    <x v="4"/>
    <n v="131792"/>
    <n v="43930.666666666664"/>
    <n v="0.1089"/>
    <n v="0.3333333333333333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n v="2212"/>
    <n v="157"/>
    <x v="0"/>
    <n v="1"/>
    <n v="1.5"/>
    <x v="0"/>
    <n v="1"/>
    <n v="4"/>
    <m/>
    <n v="4"/>
    <n v="5"/>
    <n v="4"/>
    <n v="2"/>
  </r>
  <r>
    <n v="2215"/>
    <n v="296"/>
    <x v="0"/>
    <n v="6"/>
    <n v="1.5"/>
    <x v="1"/>
    <n v="3"/>
    <n v="4"/>
    <m/>
    <n v="4"/>
    <n v="5"/>
    <n v="4"/>
    <n v="2"/>
  </r>
  <r>
    <n v="2216"/>
    <n v="44"/>
    <x v="0"/>
    <n v="6"/>
    <n v="1.5"/>
    <x v="1"/>
    <n v="3"/>
    <n v="4"/>
    <s v=" M"/>
    <n v="2"/>
    <n v="7"/>
    <n v="4"/>
    <n v="2"/>
  </r>
  <r>
    <n v="2217"/>
    <n v="194"/>
    <x v="0"/>
    <n v="6"/>
    <n v="1.5"/>
    <x v="2"/>
    <n v="3"/>
    <n v="4"/>
    <m/>
    <n v="4"/>
    <n v="5"/>
    <n v="4"/>
    <n v="2"/>
  </r>
  <r>
    <n v="2219"/>
    <n v="73"/>
    <x v="0"/>
    <n v="1"/>
    <n v="1.5"/>
    <x v="0"/>
    <n v="1"/>
    <n v="1"/>
    <s v="F"/>
    <n v="4"/>
    <n v="7"/>
    <n v="3"/>
    <n v="2"/>
  </r>
  <r>
    <n v="2224"/>
    <n v="209"/>
    <x v="0"/>
    <n v="8"/>
    <n v="1.5"/>
    <x v="2"/>
    <n v="4"/>
    <n v="4"/>
    <m/>
    <n v="4"/>
    <n v="5"/>
    <n v="4"/>
    <n v="2"/>
  </r>
  <r>
    <n v="2227"/>
    <n v="138"/>
    <x v="0"/>
    <n v="9"/>
    <n v="1.5"/>
    <x v="2"/>
    <n v="5"/>
    <n v="4"/>
    <m/>
    <n v="4"/>
    <n v="5"/>
    <n v="4"/>
    <n v="2"/>
  </r>
  <r>
    <n v="2228"/>
    <n v="237"/>
    <x v="0"/>
    <n v="7"/>
    <n v="1.5"/>
    <x v="2"/>
    <n v="4"/>
    <n v="4"/>
    <m/>
    <n v="4"/>
    <n v="5"/>
    <n v="4"/>
    <n v="2"/>
  </r>
  <r>
    <n v="2229"/>
    <n v="260"/>
    <x v="0"/>
    <n v="6"/>
    <n v="1.5"/>
    <x v="1"/>
    <n v="3"/>
    <n v="4"/>
    <m/>
    <n v="4"/>
    <n v="5"/>
    <n v="4"/>
    <n v="2"/>
  </r>
  <r>
    <n v="2230"/>
    <n v="51"/>
    <x v="0"/>
    <n v="6"/>
    <n v="1.5"/>
    <x v="2"/>
    <n v="3"/>
    <n v="2"/>
    <s v="M"/>
    <n v="7"/>
    <n v="3"/>
    <n v="3"/>
    <n v="2"/>
  </r>
  <r>
    <n v="2231"/>
    <n v="82"/>
    <x v="0"/>
    <n v="6"/>
    <n v="1.5"/>
    <x v="1"/>
    <n v="3"/>
    <n v="3"/>
    <s v="F"/>
    <n v="1"/>
    <n v="7"/>
    <n v="5"/>
    <n v="2"/>
  </r>
  <r>
    <n v="2232"/>
    <n v="230"/>
    <x v="0"/>
    <n v="4"/>
    <n v="1.5"/>
    <x v="1"/>
    <n v="2"/>
    <n v="4"/>
    <m/>
    <n v="4"/>
    <n v="5"/>
    <n v="4"/>
    <n v="2"/>
  </r>
  <r>
    <n v="2233"/>
    <n v="2"/>
    <x v="0"/>
    <n v="5"/>
    <n v="1.5"/>
    <x v="1"/>
    <n v="3"/>
    <n v="3"/>
    <s v="M"/>
    <n v="2"/>
    <n v="7"/>
    <n v="5"/>
    <n v="2"/>
  </r>
  <r>
    <n v="2234"/>
    <n v="78"/>
    <x v="0"/>
    <n v="2"/>
    <n v="1.5"/>
    <x v="0"/>
    <n v="1"/>
    <n v="4"/>
    <s v="F"/>
    <n v="4"/>
    <n v="5"/>
    <n v="6"/>
    <n v="2"/>
  </r>
  <r>
    <n v="2236"/>
    <n v="133"/>
    <x v="0"/>
    <n v="1"/>
    <n v="1.5"/>
    <x v="0"/>
    <n v="1"/>
    <n v="4"/>
    <m/>
    <n v="4"/>
    <n v="5"/>
    <n v="4"/>
    <n v="2"/>
  </r>
  <r>
    <n v="2239"/>
    <n v="248"/>
    <x v="0"/>
    <n v="2"/>
    <n v="1.5"/>
    <x v="0"/>
    <n v="1"/>
    <n v="4"/>
    <m/>
    <n v="4"/>
    <n v="5"/>
    <n v="4"/>
    <n v="2"/>
  </r>
  <r>
    <n v="2240"/>
    <n v="276"/>
    <x v="0"/>
    <n v="6"/>
    <n v="1.5"/>
    <x v="1"/>
    <n v="3"/>
    <n v="4"/>
    <m/>
    <n v="4"/>
    <n v="5"/>
    <n v="4"/>
    <n v="2"/>
  </r>
  <r>
    <n v="2242"/>
    <n v="148"/>
    <x v="0"/>
    <n v="6"/>
    <n v="1.5"/>
    <x v="1"/>
    <n v="3"/>
    <n v="4"/>
    <m/>
    <n v="4"/>
    <n v="5"/>
    <n v="4"/>
    <n v="2"/>
  </r>
  <r>
    <n v="2243"/>
    <n v="152"/>
    <x v="0"/>
    <n v="7"/>
    <n v="1.5"/>
    <x v="1"/>
    <n v="4"/>
    <n v="4"/>
    <m/>
    <n v="4"/>
    <n v="5"/>
    <n v="4"/>
    <n v="2"/>
  </r>
  <r>
    <n v="2246"/>
    <n v="128"/>
    <x v="0"/>
    <n v="7"/>
    <n v="1.5"/>
    <x v="2"/>
    <n v="4"/>
    <n v="4"/>
    <m/>
    <n v="4"/>
    <n v="5"/>
    <n v="4"/>
    <n v="2"/>
  </r>
  <r>
    <n v="2247"/>
    <n v="137"/>
    <x v="0"/>
    <n v="9"/>
    <n v="1.5"/>
    <x v="2"/>
    <n v="5"/>
    <n v="4"/>
    <m/>
    <n v="4"/>
    <n v="5"/>
    <n v="4"/>
    <n v="2"/>
  </r>
  <r>
    <n v="2248"/>
    <n v="139"/>
    <x v="0"/>
    <n v="2"/>
    <n v="1.5"/>
    <x v="0"/>
    <n v="1"/>
    <n v="4"/>
    <m/>
    <n v="4"/>
    <n v="5"/>
    <n v="4"/>
    <n v="2"/>
  </r>
  <r>
    <n v="2250"/>
    <n v="238"/>
    <x v="0"/>
    <n v="4"/>
    <n v="1.5"/>
    <x v="1"/>
    <n v="2"/>
    <n v="4"/>
    <m/>
    <n v="4"/>
    <n v="5"/>
    <n v="4"/>
    <n v="2"/>
  </r>
  <r>
    <n v="2251"/>
    <n v="249"/>
    <x v="0"/>
    <n v="1"/>
    <n v="1.5"/>
    <x v="0"/>
    <n v="1"/>
    <n v="4"/>
    <m/>
    <n v="4"/>
    <n v="5"/>
    <n v="4"/>
    <n v="2"/>
  </r>
  <r>
    <n v="2252"/>
    <n v="276"/>
    <x v="0"/>
    <n v="2"/>
    <n v="1.5"/>
    <x v="0"/>
    <n v="1"/>
    <n v="4"/>
    <m/>
    <n v="4"/>
    <n v="5"/>
    <n v="4"/>
    <n v="2"/>
  </r>
  <r>
    <n v="2253"/>
    <n v="154"/>
    <x v="0"/>
    <n v="7"/>
    <n v="1.5"/>
    <x v="1"/>
    <n v="4"/>
    <n v="4"/>
    <m/>
    <n v="4"/>
    <n v="5"/>
    <n v="4"/>
    <n v="2"/>
  </r>
  <r>
    <n v="2254"/>
    <n v="178"/>
    <x v="0"/>
    <n v="8"/>
    <n v="1.5"/>
    <x v="2"/>
    <n v="4"/>
    <n v="4"/>
    <m/>
    <n v="4"/>
    <n v="5"/>
    <n v="4"/>
    <n v="2"/>
  </r>
  <r>
    <n v="2255"/>
    <n v="53"/>
    <x v="0"/>
    <n v="1"/>
    <n v="1.5"/>
    <x v="0"/>
    <n v="1"/>
    <n v="3"/>
    <s v="M"/>
    <n v="4"/>
    <n v="6"/>
    <n v="3"/>
    <n v="2"/>
  </r>
  <r>
    <n v="2256"/>
    <n v="89"/>
    <x v="0"/>
    <n v="7"/>
    <n v="1.5"/>
    <x v="2"/>
    <n v="4"/>
    <n v="4"/>
    <s v="F"/>
    <n v="3"/>
    <n v="7"/>
    <n v="4"/>
    <n v="2"/>
  </r>
  <r>
    <n v="2259"/>
    <n v="227"/>
    <x v="0"/>
    <n v="9"/>
    <n v="1.5"/>
    <x v="2"/>
    <n v="5"/>
    <n v="4"/>
    <m/>
    <n v="4"/>
    <n v="5"/>
    <n v="4"/>
    <n v="2"/>
  </r>
  <r>
    <n v="2260"/>
    <n v="231"/>
    <x v="0"/>
    <n v="1"/>
    <n v="1.5"/>
    <x v="0"/>
    <n v="1"/>
    <n v="4"/>
    <m/>
    <n v="4"/>
    <n v="5"/>
    <n v="4"/>
    <n v="2"/>
  </r>
  <r>
    <n v="2262"/>
    <n v="120"/>
    <x v="0"/>
    <n v="7"/>
    <n v="1.5"/>
    <x v="1"/>
    <n v="4"/>
    <n v="4"/>
    <m/>
    <n v="4"/>
    <n v="5"/>
    <n v="4"/>
    <n v="2"/>
  </r>
  <r>
    <n v="2263"/>
    <n v="141"/>
    <x v="0"/>
    <n v="6"/>
    <n v="1.5"/>
    <x v="2"/>
    <n v="3"/>
    <n v="4"/>
    <m/>
    <n v="4"/>
    <n v="5"/>
    <n v="4"/>
    <n v="2"/>
  </r>
  <r>
    <n v="2264"/>
    <n v="249"/>
    <x v="0"/>
    <n v="1"/>
    <n v="1.5"/>
    <x v="0"/>
    <n v="1"/>
    <n v="4"/>
    <m/>
    <n v="4"/>
    <n v="5"/>
    <n v="4"/>
    <n v="2"/>
  </r>
  <r>
    <n v="2266"/>
    <n v="128"/>
    <x v="0"/>
    <n v="9"/>
    <n v="1.5"/>
    <x v="2"/>
    <n v="5"/>
    <n v="4"/>
    <m/>
    <n v="4"/>
    <n v="5"/>
    <n v="4"/>
    <n v="2"/>
  </r>
  <r>
    <n v="2271"/>
    <n v="163"/>
    <x v="0"/>
    <n v="2"/>
    <n v="1.5"/>
    <x v="0"/>
    <n v="1"/>
    <n v="4"/>
    <m/>
    <n v="4"/>
    <n v="5"/>
    <n v="4"/>
    <n v="2"/>
  </r>
  <r>
    <n v="2275"/>
    <n v="168"/>
    <x v="0"/>
    <n v="6"/>
    <n v="1.5"/>
    <x v="2"/>
    <n v="3"/>
    <n v="4"/>
    <m/>
    <n v="4"/>
    <n v="5"/>
    <n v="4"/>
    <n v="2"/>
  </r>
  <r>
    <n v="2278"/>
    <n v="53"/>
    <x v="0"/>
    <n v="1"/>
    <n v="1.5"/>
    <x v="0"/>
    <n v="1"/>
    <n v="3"/>
    <s v="M"/>
    <n v="4"/>
    <n v="6"/>
    <n v="3"/>
    <n v="2"/>
  </r>
  <r>
    <n v="2279"/>
    <n v="90"/>
    <x v="0"/>
    <n v="6"/>
    <n v="1.5"/>
    <x v="1"/>
    <n v="3"/>
    <n v="7"/>
    <s v="F"/>
    <n v="3"/>
    <n v="7"/>
    <n v="3"/>
    <n v="2"/>
  </r>
  <r>
    <n v="2281"/>
    <n v="37"/>
    <x v="0"/>
    <n v="4"/>
    <n v="1.5"/>
    <x v="1"/>
    <n v="2"/>
    <n v="7"/>
    <s v="F"/>
    <n v="5"/>
    <n v="3"/>
    <n v="1"/>
    <n v="2"/>
  </r>
  <r>
    <n v="2283"/>
    <n v="259"/>
    <x v="0"/>
    <n v="9"/>
    <n v="1.5"/>
    <x v="2"/>
    <n v="5"/>
    <n v="4"/>
    <m/>
    <n v="4"/>
    <n v="5"/>
    <n v="4"/>
    <n v="2"/>
  </r>
  <r>
    <n v="2284"/>
    <n v="14"/>
    <x v="0"/>
    <n v="2"/>
    <n v="1.5"/>
    <x v="0"/>
    <n v="1"/>
    <n v="3"/>
    <s v="M"/>
    <n v="4"/>
    <n v="3"/>
    <n v="7"/>
    <n v="2"/>
  </r>
  <r>
    <n v="2286"/>
    <n v="60"/>
    <x v="0"/>
    <n v="1"/>
    <n v="1.5"/>
    <x v="0"/>
    <n v="1"/>
    <n v="6"/>
    <s v="F"/>
    <n v="6"/>
    <n v="1"/>
    <n v="2"/>
    <n v="2"/>
  </r>
  <r>
    <n v="2287"/>
    <n v="130"/>
    <x v="0"/>
    <n v="9"/>
    <n v="1.5"/>
    <x v="2"/>
    <n v="5"/>
    <n v="4"/>
    <m/>
    <n v="4"/>
    <n v="5"/>
    <n v="4"/>
    <n v="2"/>
  </r>
  <r>
    <n v="2288"/>
    <n v="174"/>
    <x v="0"/>
    <n v="1"/>
    <n v="1.5"/>
    <x v="0"/>
    <n v="1"/>
    <n v="4"/>
    <m/>
    <n v="4"/>
    <n v="5"/>
    <n v="4"/>
    <n v="2"/>
  </r>
  <r>
    <n v="2290"/>
    <n v="284"/>
    <x v="0"/>
    <n v="2"/>
    <n v="1.5"/>
    <x v="0"/>
    <n v="1"/>
    <n v="4"/>
    <m/>
    <n v="4"/>
    <n v="5"/>
    <n v="4"/>
    <n v="2"/>
  </r>
  <r>
    <n v="2291"/>
    <n v="56"/>
    <x v="0"/>
    <n v="7"/>
    <n v="1.5"/>
    <x v="1"/>
    <n v="4"/>
    <n v="7"/>
    <s v="  M"/>
    <n v="4"/>
    <n v="5"/>
    <n v="6"/>
    <n v="2"/>
  </r>
  <r>
    <n v="2299"/>
    <n v="140"/>
    <x v="0"/>
    <n v="9"/>
    <n v="1.5"/>
    <x v="2"/>
    <n v="5"/>
    <n v="4"/>
    <m/>
    <n v="4"/>
    <n v="5"/>
    <n v="4"/>
    <n v="2"/>
  </r>
  <r>
    <n v="2300"/>
    <n v="205"/>
    <x v="0"/>
    <n v="7"/>
    <n v="1.5"/>
    <x v="1"/>
    <n v="4"/>
    <n v="4"/>
    <m/>
    <n v="4"/>
    <n v="5"/>
    <n v="4"/>
    <n v="2"/>
  </r>
  <r>
    <n v="2303"/>
    <n v="91"/>
    <x v="0"/>
    <n v="1"/>
    <n v="1.5"/>
    <x v="0"/>
    <n v="1"/>
    <n v="3"/>
    <s v="F"/>
    <n v="1"/>
    <n v="7"/>
    <n v="5"/>
    <n v="2"/>
  </r>
  <r>
    <n v="2305"/>
    <n v="239"/>
    <x v="0"/>
    <n v="1"/>
    <n v="1.5"/>
    <x v="0"/>
    <n v="1"/>
    <n v="4"/>
    <m/>
    <n v="4"/>
    <n v="5"/>
    <n v="4"/>
    <n v="2"/>
  </r>
  <r>
    <n v="2306"/>
    <n v="255"/>
    <x v="0"/>
    <n v="9"/>
    <n v="1.5"/>
    <x v="2"/>
    <n v="5"/>
    <n v="4"/>
    <m/>
    <n v="4"/>
    <n v="5"/>
    <n v="4"/>
    <n v="2"/>
  </r>
  <r>
    <n v="2316"/>
    <n v="180"/>
    <x v="0"/>
    <n v="5"/>
    <n v="1.5"/>
    <x v="1"/>
    <n v="3"/>
    <n v="4"/>
    <m/>
    <n v="4"/>
    <n v="5"/>
    <n v="4"/>
    <n v="2"/>
  </r>
  <r>
    <n v="2317"/>
    <n v="268"/>
    <x v="0"/>
    <n v="6"/>
    <n v="1.5"/>
    <x v="2"/>
    <n v="3"/>
    <n v="4"/>
    <m/>
    <n v="4"/>
    <n v="5"/>
    <n v="4"/>
    <n v="2"/>
  </r>
  <r>
    <n v="2319"/>
    <n v="225"/>
    <x v="0"/>
    <n v="2"/>
    <n v="1.5"/>
    <x v="0"/>
    <n v="1"/>
    <n v="4"/>
    <m/>
    <n v="4"/>
    <n v="5"/>
    <n v="4"/>
    <n v="2"/>
  </r>
  <r>
    <n v="2324"/>
    <n v="297"/>
    <x v="0"/>
    <n v="6"/>
    <n v="1.5"/>
    <x v="2"/>
    <n v="3"/>
    <n v="4"/>
    <m/>
    <n v="4"/>
    <n v="5"/>
    <n v="4"/>
    <n v="2"/>
  </r>
  <r>
    <n v="2327"/>
    <n v="99"/>
    <x v="0"/>
    <n v="5"/>
    <n v="1.5"/>
    <x v="1"/>
    <n v="3"/>
    <n v="1"/>
    <s v="F"/>
    <n v="5"/>
    <n v="5"/>
    <n v="7"/>
    <n v="2"/>
  </r>
  <r>
    <n v="2328"/>
    <n v="129"/>
    <x v="0"/>
    <n v="4"/>
    <n v="1.5"/>
    <x v="1"/>
    <n v="2"/>
    <n v="4"/>
    <m/>
    <n v="4"/>
    <n v="5"/>
    <n v="4"/>
    <n v="2"/>
  </r>
  <r>
    <n v="2329"/>
    <n v="172"/>
    <x v="0"/>
    <n v="7"/>
    <n v="1.5"/>
    <x v="1"/>
    <n v="4"/>
    <n v="4"/>
    <m/>
    <n v="4"/>
    <n v="5"/>
    <n v="4"/>
    <n v="2"/>
  </r>
  <r>
    <n v="2213"/>
    <n v="199"/>
    <x v="1"/>
    <n v="1"/>
    <n v="1"/>
    <x v="3"/>
    <n v="0"/>
    <n v="4"/>
    <m/>
    <n v="4"/>
    <n v="5"/>
    <n v="4"/>
    <n v="1"/>
  </r>
  <r>
    <n v="2214"/>
    <n v="203"/>
    <x v="1"/>
    <n v="7"/>
    <n v="1"/>
    <x v="3"/>
    <n v="2"/>
    <n v="4"/>
    <m/>
    <n v="4"/>
    <n v="5"/>
    <n v="4"/>
    <n v="1"/>
  </r>
  <r>
    <n v="2218"/>
    <n v="62"/>
    <x v="1"/>
    <n v="2"/>
    <n v="1"/>
    <x v="3"/>
    <n v="0"/>
    <n v="5"/>
    <s v="F"/>
    <n v="5"/>
    <n v="2"/>
    <n v="3"/>
    <n v="1"/>
  </r>
  <r>
    <n v="2220"/>
    <n v="83"/>
    <x v="1"/>
    <n v="9"/>
    <n v="1"/>
    <x v="4"/>
    <n v="2"/>
    <n v="7"/>
    <s v="F"/>
    <n v="5"/>
    <n v="3"/>
    <n v="1"/>
    <n v="1"/>
  </r>
  <r>
    <n v="2221"/>
    <n v="192"/>
    <x v="1"/>
    <n v="6"/>
    <n v="1"/>
    <x v="4"/>
    <n v="1"/>
    <n v="4"/>
    <m/>
    <n v="4"/>
    <n v="5"/>
    <n v="4"/>
    <n v="1"/>
  </r>
  <r>
    <n v="2222"/>
    <n v="249"/>
    <x v="1"/>
    <n v="0"/>
    <n v="1"/>
    <x v="3"/>
    <n v="0"/>
    <n v="4"/>
    <m/>
    <n v="4"/>
    <n v="5"/>
    <n v="4"/>
    <n v="1"/>
  </r>
  <r>
    <n v="2223"/>
    <n v="82"/>
    <x v="1"/>
    <n v="2"/>
    <n v="1"/>
    <x v="3"/>
    <n v="0"/>
    <n v="3"/>
    <s v="F"/>
    <n v="1"/>
    <n v="7"/>
    <n v="5"/>
    <n v="1"/>
  </r>
  <r>
    <n v="2225"/>
    <n v="284"/>
    <x v="1"/>
    <n v="2"/>
    <n v="1"/>
    <x v="4"/>
    <n v="0"/>
    <n v="4"/>
    <m/>
    <n v="4"/>
    <n v="5"/>
    <n v="4"/>
    <n v="1"/>
  </r>
  <r>
    <n v="2226"/>
    <n v="52"/>
    <x v="1"/>
    <n v="4"/>
    <n v="1"/>
    <x v="3"/>
    <n v="1"/>
    <n v="7"/>
    <s v="M"/>
    <n v="4"/>
    <n v="4"/>
    <n v="6"/>
    <n v="1"/>
  </r>
  <r>
    <n v="2235"/>
    <n v="94"/>
    <x v="1"/>
    <n v="2"/>
    <n v="1"/>
    <x v="4"/>
    <n v="0"/>
    <n v="4"/>
    <s v="F"/>
    <n v="4"/>
    <n v="4"/>
    <n v="7"/>
    <n v="1"/>
  </r>
  <r>
    <n v="2237"/>
    <n v="204"/>
    <x v="1"/>
    <n v="7"/>
    <n v="1"/>
    <x v="3"/>
    <n v="2"/>
    <n v="4"/>
    <m/>
    <n v="4"/>
    <n v="5"/>
    <n v="4"/>
    <n v="1"/>
  </r>
  <r>
    <n v="2238"/>
    <n v="240"/>
    <x v="1"/>
    <n v="2"/>
    <n v="1"/>
    <x v="4"/>
    <n v="0"/>
    <n v="4"/>
    <m/>
    <n v="4"/>
    <n v="5"/>
    <n v="4"/>
    <n v="1"/>
  </r>
  <r>
    <n v="2241"/>
    <n v="30"/>
    <x v="1"/>
    <n v="2"/>
    <n v="1"/>
    <x v="4"/>
    <n v="0"/>
    <n v="2"/>
    <s v="F"/>
    <n v="6"/>
    <n v="2"/>
    <n v="1"/>
    <n v="1"/>
  </r>
  <r>
    <n v="2244"/>
    <n v="55"/>
    <x v="1"/>
    <n v="8"/>
    <n v="1"/>
    <x v="4"/>
    <n v="2"/>
    <n v="4"/>
    <s v="M"/>
    <n v="7"/>
    <n v="2"/>
    <n v="1"/>
    <n v="1"/>
  </r>
  <r>
    <n v="2245"/>
    <n v="100"/>
    <x v="1"/>
    <n v="1"/>
    <n v="1"/>
    <x v="3"/>
    <n v="0"/>
    <n v="4"/>
    <s v="F"/>
    <n v="2"/>
    <n v="6"/>
    <n v="3"/>
    <n v="1"/>
  </r>
  <r>
    <n v="2249"/>
    <n v="199"/>
    <x v="1"/>
    <n v="0"/>
    <n v="1"/>
    <x v="4"/>
    <n v="0"/>
    <n v="4"/>
    <m/>
    <n v="4"/>
    <n v="5"/>
    <n v="4"/>
    <n v="1"/>
  </r>
  <r>
    <n v="2257"/>
    <n v="93"/>
    <x v="1"/>
    <n v="1"/>
    <n v="1"/>
    <x v="3"/>
    <n v="0"/>
    <n v="7"/>
    <s v="F"/>
    <n v="5"/>
    <n v="3"/>
    <n v="2"/>
    <n v="1"/>
  </r>
  <r>
    <n v="2258"/>
    <n v="130"/>
    <x v="1"/>
    <n v="9"/>
    <n v="1"/>
    <x v="4"/>
    <n v="2"/>
    <n v="4"/>
    <m/>
    <n v="4"/>
    <n v="5"/>
    <n v="4"/>
    <n v="1"/>
  </r>
  <r>
    <n v="2261"/>
    <n v="75"/>
    <x v="1"/>
    <n v="7"/>
    <n v="1"/>
    <x v="3"/>
    <n v="2"/>
    <n v="2"/>
    <s v="F"/>
    <n v="3"/>
    <n v="6"/>
    <n v="4"/>
    <n v="1"/>
  </r>
  <r>
    <n v="2265"/>
    <n v="25"/>
    <x v="1"/>
    <n v="10"/>
    <n v="1"/>
    <x v="4"/>
    <n v="2"/>
    <n v="2"/>
    <s v="F"/>
    <n v="5"/>
    <n v="3"/>
    <n v="2"/>
    <n v="1"/>
  </r>
  <r>
    <n v="2267"/>
    <n v="203"/>
    <x v="1"/>
    <n v="9"/>
    <n v="1"/>
    <x v="4"/>
    <n v="2"/>
    <n v="4"/>
    <m/>
    <n v="4"/>
    <n v="5"/>
    <n v="4"/>
    <n v="1"/>
  </r>
  <r>
    <n v="2268"/>
    <n v="277"/>
    <x v="1"/>
    <n v="6"/>
    <n v="1"/>
    <x v="3"/>
    <n v="1"/>
    <n v="4"/>
    <m/>
    <n v="4"/>
    <n v="5"/>
    <n v="4"/>
    <n v="1"/>
  </r>
  <r>
    <n v="2269"/>
    <n v="91"/>
    <x v="1"/>
    <n v="5"/>
    <n v="1"/>
    <x v="3"/>
    <n v="1"/>
    <n v="3"/>
    <s v="F"/>
    <n v="1"/>
    <n v="7"/>
    <n v="5"/>
    <n v="1"/>
  </r>
  <r>
    <n v="2270"/>
    <n v="154"/>
    <x v="1"/>
    <n v="2"/>
    <n v="1"/>
    <x v="4"/>
    <n v="0"/>
    <n v="4"/>
    <m/>
    <n v="4"/>
    <n v="5"/>
    <n v="4"/>
    <n v="1"/>
  </r>
  <r>
    <n v="2272"/>
    <n v="12"/>
    <x v="1"/>
    <n v="6"/>
    <n v="1"/>
    <x v="3"/>
    <n v="1"/>
    <n v="2"/>
    <s v="M"/>
    <n v="3"/>
    <n v="3"/>
    <n v="7"/>
    <n v="1"/>
  </r>
  <r>
    <n v="2273"/>
    <n v="99"/>
    <x v="1"/>
    <n v="0"/>
    <n v="1"/>
    <x v="3"/>
    <n v="0"/>
    <n v="1"/>
    <s v="F"/>
    <n v="5"/>
    <n v="5"/>
    <n v="7"/>
    <n v="1"/>
  </r>
  <r>
    <n v="2274"/>
    <n v="151"/>
    <x v="1"/>
    <n v="4"/>
    <n v="1"/>
    <x v="3"/>
    <n v="1"/>
    <n v="4"/>
    <m/>
    <n v="4"/>
    <n v="5"/>
    <n v="4"/>
    <n v="1"/>
  </r>
  <r>
    <n v="2276"/>
    <n v="246"/>
    <x v="1"/>
    <n v="7"/>
    <n v="1"/>
    <x v="3"/>
    <n v="2"/>
    <n v="4"/>
    <m/>
    <n v="4"/>
    <n v="5"/>
    <n v="4"/>
    <n v="1"/>
  </r>
  <r>
    <n v="2277"/>
    <n v="28"/>
    <x v="1"/>
    <n v="6"/>
    <n v="1"/>
    <x v="3"/>
    <n v="1"/>
    <n v="1"/>
    <s v=" M"/>
    <n v="6"/>
    <n v="5"/>
    <n v="5"/>
    <n v="1"/>
  </r>
  <r>
    <n v="2280"/>
    <n v="165"/>
    <x v="1"/>
    <n v="5"/>
    <n v="1"/>
    <x v="4"/>
    <n v="1"/>
    <n v="4"/>
    <m/>
    <n v="4"/>
    <n v="5"/>
    <n v="4"/>
    <n v="1"/>
  </r>
  <r>
    <n v="2282"/>
    <n v="66"/>
    <x v="1"/>
    <n v="7"/>
    <n v="1"/>
    <x v="3"/>
    <n v="2"/>
    <n v="4"/>
    <s v="F"/>
    <n v="1"/>
    <n v="6"/>
    <n v="4"/>
    <n v="1"/>
  </r>
  <r>
    <n v="2285"/>
    <n v="26"/>
    <x v="1"/>
    <n v="2"/>
    <n v="1"/>
    <x v="3"/>
    <n v="0"/>
    <n v="2"/>
    <s v="   F"/>
    <n v="5"/>
    <n v="3"/>
    <n v="2"/>
    <n v="1"/>
  </r>
  <r>
    <n v="2285"/>
    <n v="26"/>
    <x v="1"/>
    <n v="2"/>
    <n v="1"/>
    <x v="3"/>
    <n v="0"/>
    <n v="2"/>
    <s v="   F"/>
    <n v="5"/>
    <n v="3"/>
    <n v="2"/>
    <n v="1"/>
  </r>
  <r>
    <n v="2289"/>
    <n v="280"/>
    <x v="1"/>
    <n v="10"/>
    <n v="1"/>
    <x v="4"/>
    <n v="2"/>
    <n v="4"/>
    <m/>
    <n v="4"/>
    <n v="5"/>
    <n v="4"/>
    <n v="1"/>
  </r>
  <r>
    <n v="2292"/>
    <n v="68"/>
    <x v="1"/>
    <n v="1"/>
    <n v="1"/>
    <x v="3"/>
    <n v="0"/>
    <n v="4"/>
    <s v="Female"/>
    <n v="2"/>
    <n v="7"/>
    <n v="4"/>
    <n v="1"/>
  </r>
  <r>
    <n v="2293"/>
    <n v="267"/>
    <x v="1"/>
    <n v="6"/>
    <n v="1"/>
    <x v="3"/>
    <n v="1"/>
    <n v="4"/>
    <m/>
    <n v="4"/>
    <n v="5"/>
    <n v="4"/>
    <n v="1"/>
  </r>
  <r>
    <n v="2294"/>
    <n v="268"/>
    <x v="1"/>
    <n v="6"/>
    <n v="1"/>
    <x v="3"/>
    <n v="1"/>
    <n v="4"/>
    <m/>
    <n v="4"/>
    <n v="5"/>
    <n v="4"/>
    <n v="1"/>
  </r>
  <r>
    <n v="2295"/>
    <n v="288"/>
    <x v="1"/>
    <n v="0"/>
    <n v="1"/>
    <x v="4"/>
    <n v="0"/>
    <n v="4"/>
    <m/>
    <n v="4"/>
    <n v="5"/>
    <n v="4"/>
    <n v="1"/>
  </r>
  <r>
    <n v="2296"/>
    <n v="111"/>
    <x v="1"/>
    <n v="9"/>
    <n v="1"/>
    <x v="4"/>
    <n v="2"/>
    <n v="4"/>
    <s v="F"/>
    <n v="3"/>
    <n v="7"/>
    <n v="3"/>
    <n v="1"/>
  </r>
  <r>
    <n v="2297"/>
    <n v="281"/>
    <x v="1"/>
    <n v="2"/>
    <n v="1"/>
    <x v="4"/>
    <n v="0"/>
    <n v="4"/>
    <m/>
    <n v="4"/>
    <n v="5"/>
    <n v="4"/>
    <n v="1"/>
  </r>
  <r>
    <n v="2298"/>
    <n v="69"/>
    <x v="1"/>
    <n v="3"/>
    <n v="1"/>
    <x v="3"/>
    <n v="1"/>
    <n v="3"/>
    <s v="F"/>
    <n v="4"/>
    <n v="3"/>
    <n v="6"/>
    <n v="1"/>
  </r>
  <r>
    <n v="2301"/>
    <n v="35"/>
    <x v="1"/>
    <n v="2"/>
    <n v="1"/>
    <x v="3"/>
    <n v="0"/>
    <n v="7"/>
    <s v="M"/>
    <n v="5"/>
    <n v="2"/>
    <n v="2"/>
    <n v="1"/>
  </r>
  <r>
    <n v="2302"/>
    <n v="83"/>
    <x v="1"/>
    <n v="4"/>
    <n v="1"/>
    <x v="4"/>
    <n v="1"/>
    <n v="7"/>
    <s v="F"/>
    <n v="5"/>
    <n v="3"/>
    <n v="1"/>
    <n v="1"/>
  </r>
  <r>
    <n v="2304"/>
    <n v="154"/>
    <x v="1"/>
    <n v="6"/>
    <n v="1"/>
    <x v="4"/>
    <n v="1"/>
    <n v="4"/>
    <m/>
    <n v="4"/>
    <n v="5"/>
    <n v="4"/>
    <n v="1"/>
  </r>
  <r>
    <n v="2307"/>
    <n v="31"/>
    <x v="1"/>
    <n v="5"/>
    <n v="1"/>
    <x v="4"/>
    <n v="1"/>
    <n v="2"/>
    <s v="    F"/>
    <n v="5"/>
    <n v="5"/>
    <n v="5"/>
    <n v="1"/>
  </r>
  <r>
    <n v="2308"/>
    <n v="71"/>
    <x v="1"/>
    <n v="10"/>
    <n v="1"/>
    <x v="4"/>
    <n v="2"/>
    <n v="3"/>
    <s v="F"/>
    <n v="4"/>
    <n v="4"/>
    <n v="7"/>
    <n v="1"/>
  </r>
  <r>
    <n v="2309"/>
    <n v="142"/>
    <x v="1"/>
    <n v="4"/>
    <n v="1"/>
    <x v="3"/>
    <n v="1"/>
    <n v="4"/>
    <m/>
    <n v="4"/>
    <n v="5"/>
    <n v="4"/>
    <n v="1"/>
  </r>
  <r>
    <n v="2310"/>
    <n v="115"/>
    <x v="1"/>
    <n v="5"/>
    <n v="1"/>
    <x v="4"/>
    <n v="1"/>
    <n v="2"/>
    <s v="F"/>
    <n v="2"/>
    <n v="5"/>
    <n v="5"/>
    <n v="1"/>
  </r>
  <r>
    <n v="2311"/>
    <n v="52"/>
    <x v="1"/>
    <n v="3"/>
    <n v="1"/>
    <x v="3"/>
    <n v="1"/>
    <n v="7"/>
    <s v="M"/>
    <n v="4"/>
    <n v="4"/>
    <n v="6"/>
    <n v="1"/>
  </r>
  <r>
    <n v="2312"/>
    <n v="75"/>
    <x v="1"/>
    <n v="9"/>
    <n v="1"/>
    <x v="4"/>
    <n v="2"/>
    <n v="2"/>
    <s v="F"/>
    <n v="3"/>
    <n v="6"/>
    <n v="4"/>
    <n v="1"/>
  </r>
  <r>
    <n v="2313"/>
    <n v="256"/>
    <x v="1"/>
    <n v="10"/>
    <n v="1"/>
    <x v="4"/>
    <n v="2"/>
    <n v="4"/>
    <m/>
    <n v="4"/>
    <n v="5"/>
    <n v="4"/>
    <n v="1"/>
  </r>
  <r>
    <n v="2314"/>
    <n v="10"/>
    <x v="1"/>
    <n v="0"/>
    <n v="1"/>
    <x v="3"/>
    <n v="0"/>
    <n v="3"/>
    <s v="F"/>
    <n v="1"/>
    <n v="5"/>
    <n v="3"/>
    <n v="1"/>
  </r>
  <r>
    <n v="2315"/>
    <n v="121"/>
    <x v="1"/>
    <n v="3"/>
    <n v="1"/>
    <x v="4"/>
    <n v="1"/>
    <n v="4"/>
    <m/>
    <n v="4"/>
    <n v="5"/>
    <n v="4"/>
    <n v="1"/>
  </r>
  <r>
    <n v="2318"/>
    <n v="274"/>
    <x v="1"/>
    <n v="7"/>
    <n v="1"/>
    <x v="3"/>
    <n v="2"/>
    <n v="4"/>
    <m/>
    <n v="4"/>
    <n v="5"/>
    <n v="4"/>
    <n v="1"/>
  </r>
  <r>
    <n v="2320"/>
    <n v="45"/>
    <x v="1"/>
    <n v="10"/>
    <n v="1"/>
    <x v="4"/>
    <n v="2"/>
    <n v="4"/>
    <s v="F"/>
    <n v="3"/>
    <n v="4"/>
    <n v="6"/>
    <n v="1"/>
  </r>
  <r>
    <n v="2321"/>
    <n v="160"/>
    <x v="1"/>
    <n v="2"/>
    <n v="1"/>
    <x v="4"/>
    <n v="0"/>
    <n v="4"/>
    <m/>
    <n v="4"/>
    <n v="5"/>
    <n v="4"/>
    <n v="1"/>
  </r>
  <r>
    <n v="2322"/>
    <n v="190"/>
    <x v="1"/>
    <n v="6"/>
    <n v="1"/>
    <x v="3"/>
    <n v="1"/>
    <n v="4"/>
    <m/>
    <n v="4"/>
    <n v="5"/>
    <n v="4"/>
    <n v="1"/>
  </r>
  <r>
    <n v="2323"/>
    <n v="191"/>
    <x v="1"/>
    <n v="1"/>
    <n v="1"/>
    <x v="3"/>
    <n v="0"/>
    <n v="4"/>
    <m/>
    <n v="4"/>
    <n v="5"/>
    <n v="4"/>
    <n v="1"/>
  </r>
  <r>
    <n v="2325"/>
    <n v="64"/>
    <x v="1"/>
    <n v="2"/>
    <n v="1"/>
    <x v="4"/>
    <n v="0"/>
    <n v="6"/>
    <s v="F"/>
    <n v="5"/>
    <n v="2"/>
    <n v="1"/>
    <n v="1"/>
  </r>
  <r>
    <n v="2326"/>
    <n v="67"/>
    <x v="1"/>
    <n v="4"/>
    <n v="1"/>
    <x v="4"/>
    <n v="1"/>
    <n v="4"/>
    <s v="F"/>
    <n v="2"/>
    <n v="7"/>
    <n v="4"/>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n v="2212"/>
    <n v="157"/>
    <x v="0"/>
    <x v="0"/>
    <n v="1.5"/>
    <x v="0"/>
    <x v="0"/>
    <n v="4"/>
    <m/>
    <n v="4"/>
    <n v="5"/>
    <n v="4"/>
    <n v="2"/>
  </r>
  <r>
    <n v="2215"/>
    <n v="296"/>
    <x v="0"/>
    <x v="1"/>
    <n v="1.5"/>
    <x v="1"/>
    <x v="1"/>
    <n v="4"/>
    <m/>
    <n v="4"/>
    <n v="5"/>
    <n v="4"/>
    <n v="2"/>
  </r>
  <r>
    <n v="2216"/>
    <n v="44"/>
    <x v="0"/>
    <x v="1"/>
    <n v="1.5"/>
    <x v="1"/>
    <x v="1"/>
    <n v="4"/>
    <s v=" M"/>
    <n v="2"/>
    <n v="7"/>
    <n v="4"/>
    <n v="2"/>
  </r>
  <r>
    <n v="2217"/>
    <n v="194"/>
    <x v="0"/>
    <x v="1"/>
    <n v="1.5"/>
    <x v="2"/>
    <x v="1"/>
    <n v="4"/>
    <m/>
    <n v="4"/>
    <n v="5"/>
    <n v="4"/>
    <n v="2"/>
  </r>
  <r>
    <n v="2219"/>
    <n v="73"/>
    <x v="0"/>
    <x v="0"/>
    <n v="1.5"/>
    <x v="0"/>
    <x v="0"/>
    <n v="1"/>
    <s v="F"/>
    <n v="4"/>
    <n v="7"/>
    <n v="3"/>
    <n v="2"/>
  </r>
  <r>
    <n v="2224"/>
    <n v="209"/>
    <x v="0"/>
    <x v="2"/>
    <n v="1.5"/>
    <x v="2"/>
    <x v="2"/>
    <n v="4"/>
    <m/>
    <n v="4"/>
    <n v="5"/>
    <n v="4"/>
    <n v="2"/>
  </r>
  <r>
    <n v="2227"/>
    <n v="138"/>
    <x v="0"/>
    <x v="3"/>
    <n v="1.5"/>
    <x v="2"/>
    <x v="3"/>
    <n v="4"/>
    <m/>
    <n v="4"/>
    <n v="5"/>
    <n v="4"/>
    <n v="2"/>
  </r>
  <r>
    <n v="2228"/>
    <n v="237"/>
    <x v="0"/>
    <x v="4"/>
    <n v="1.5"/>
    <x v="2"/>
    <x v="2"/>
    <n v="4"/>
    <m/>
    <n v="4"/>
    <n v="5"/>
    <n v="4"/>
    <n v="2"/>
  </r>
  <r>
    <n v="2229"/>
    <n v="260"/>
    <x v="0"/>
    <x v="1"/>
    <n v="1.5"/>
    <x v="1"/>
    <x v="1"/>
    <n v="4"/>
    <m/>
    <n v="4"/>
    <n v="5"/>
    <n v="4"/>
    <n v="2"/>
  </r>
  <r>
    <n v="2230"/>
    <n v="51"/>
    <x v="0"/>
    <x v="1"/>
    <n v="1.5"/>
    <x v="2"/>
    <x v="1"/>
    <n v="2"/>
    <s v="M"/>
    <n v="7"/>
    <n v="3"/>
    <n v="3"/>
    <n v="2"/>
  </r>
  <r>
    <n v="2231"/>
    <n v="82"/>
    <x v="0"/>
    <x v="1"/>
    <n v="1.5"/>
    <x v="1"/>
    <x v="1"/>
    <n v="3"/>
    <s v="F"/>
    <n v="1"/>
    <n v="7"/>
    <n v="5"/>
    <n v="2"/>
  </r>
  <r>
    <n v="2232"/>
    <n v="230"/>
    <x v="0"/>
    <x v="5"/>
    <n v="1.5"/>
    <x v="1"/>
    <x v="4"/>
    <n v="4"/>
    <m/>
    <n v="4"/>
    <n v="5"/>
    <n v="4"/>
    <n v="2"/>
  </r>
  <r>
    <n v="2233"/>
    <n v="2"/>
    <x v="0"/>
    <x v="6"/>
    <n v="1.5"/>
    <x v="1"/>
    <x v="1"/>
    <n v="3"/>
    <s v="M"/>
    <n v="2"/>
    <n v="7"/>
    <n v="5"/>
    <n v="2"/>
  </r>
  <r>
    <n v="2234"/>
    <n v="78"/>
    <x v="0"/>
    <x v="7"/>
    <n v="1.5"/>
    <x v="0"/>
    <x v="0"/>
    <n v="4"/>
    <s v="F"/>
    <n v="4"/>
    <n v="5"/>
    <n v="6"/>
    <n v="2"/>
  </r>
  <r>
    <n v="2236"/>
    <n v="133"/>
    <x v="0"/>
    <x v="0"/>
    <n v="1.5"/>
    <x v="0"/>
    <x v="0"/>
    <n v="4"/>
    <m/>
    <n v="4"/>
    <n v="5"/>
    <n v="4"/>
    <n v="2"/>
  </r>
  <r>
    <n v="2239"/>
    <n v="248"/>
    <x v="0"/>
    <x v="7"/>
    <n v="1.5"/>
    <x v="0"/>
    <x v="0"/>
    <n v="4"/>
    <m/>
    <n v="4"/>
    <n v="5"/>
    <n v="4"/>
    <n v="2"/>
  </r>
  <r>
    <n v="2240"/>
    <n v="276"/>
    <x v="0"/>
    <x v="1"/>
    <n v="1.5"/>
    <x v="1"/>
    <x v="1"/>
    <n v="4"/>
    <m/>
    <n v="4"/>
    <n v="5"/>
    <n v="4"/>
    <n v="2"/>
  </r>
  <r>
    <n v="2242"/>
    <n v="148"/>
    <x v="0"/>
    <x v="1"/>
    <n v="1.5"/>
    <x v="1"/>
    <x v="1"/>
    <n v="4"/>
    <m/>
    <n v="4"/>
    <n v="5"/>
    <n v="4"/>
    <n v="2"/>
  </r>
  <r>
    <n v="2243"/>
    <n v="152"/>
    <x v="0"/>
    <x v="4"/>
    <n v="1.5"/>
    <x v="1"/>
    <x v="2"/>
    <n v="4"/>
    <m/>
    <n v="4"/>
    <n v="5"/>
    <n v="4"/>
    <n v="2"/>
  </r>
  <r>
    <n v="2246"/>
    <n v="128"/>
    <x v="0"/>
    <x v="4"/>
    <n v="1.5"/>
    <x v="2"/>
    <x v="2"/>
    <n v="4"/>
    <m/>
    <n v="4"/>
    <n v="5"/>
    <n v="4"/>
    <n v="2"/>
  </r>
  <r>
    <n v="2247"/>
    <n v="137"/>
    <x v="0"/>
    <x v="3"/>
    <n v="1.5"/>
    <x v="2"/>
    <x v="3"/>
    <n v="4"/>
    <m/>
    <n v="4"/>
    <n v="5"/>
    <n v="4"/>
    <n v="2"/>
  </r>
  <r>
    <n v="2248"/>
    <n v="139"/>
    <x v="0"/>
    <x v="7"/>
    <n v="1.5"/>
    <x v="0"/>
    <x v="0"/>
    <n v="4"/>
    <m/>
    <n v="4"/>
    <n v="5"/>
    <n v="4"/>
    <n v="2"/>
  </r>
  <r>
    <n v="2250"/>
    <n v="238"/>
    <x v="0"/>
    <x v="5"/>
    <n v="1.5"/>
    <x v="1"/>
    <x v="4"/>
    <n v="4"/>
    <m/>
    <n v="4"/>
    <n v="5"/>
    <n v="4"/>
    <n v="2"/>
  </r>
  <r>
    <n v="2251"/>
    <n v="249"/>
    <x v="0"/>
    <x v="0"/>
    <n v="1.5"/>
    <x v="0"/>
    <x v="0"/>
    <n v="4"/>
    <m/>
    <n v="4"/>
    <n v="5"/>
    <n v="4"/>
    <n v="2"/>
  </r>
  <r>
    <n v="2252"/>
    <n v="276"/>
    <x v="0"/>
    <x v="7"/>
    <n v="1.5"/>
    <x v="0"/>
    <x v="0"/>
    <n v="4"/>
    <m/>
    <n v="4"/>
    <n v="5"/>
    <n v="4"/>
    <n v="2"/>
  </r>
  <r>
    <n v="2253"/>
    <n v="154"/>
    <x v="0"/>
    <x v="4"/>
    <n v="1.5"/>
    <x v="1"/>
    <x v="2"/>
    <n v="4"/>
    <m/>
    <n v="4"/>
    <n v="5"/>
    <n v="4"/>
    <n v="2"/>
  </r>
  <r>
    <n v="2254"/>
    <n v="178"/>
    <x v="0"/>
    <x v="2"/>
    <n v="1.5"/>
    <x v="2"/>
    <x v="2"/>
    <n v="4"/>
    <m/>
    <n v="4"/>
    <n v="5"/>
    <n v="4"/>
    <n v="2"/>
  </r>
  <r>
    <n v="2255"/>
    <n v="53"/>
    <x v="0"/>
    <x v="0"/>
    <n v="1.5"/>
    <x v="0"/>
    <x v="0"/>
    <n v="3"/>
    <s v="M"/>
    <n v="4"/>
    <n v="6"/>
    <n v="3"/>
    <n v="2"/>
  </r>
  <r>
    <n v="2256"/>
    <n v="89"/>
    <x v="0"/>
    <x v="4"/>
    <n v="1.5"/>
    <x v="2"/>
    <x v="2"/>
    <n v="4"/>
    <s v="F"/>
    <n v="3"/>
    <n v="7"/>
    <n v="4"/>
    <n v="2"/>
  </r>
  <r>
    <n v="2259"/>
    <n v="227"/>
    <x v="0"/>
    <x v="3"/>
    <n v="1.5"/>
    <x v="2"/>
    <x v="3"/>
    <n v="4"/>
    <m/>
    <n v="4"/>
    <n v="5"/>
    <n v="4"/>
    <n v="2"/>
  </r>
  <r>
    <n v="2260"/>
    <n v="231"/>
    <x v="0"/>
    <x v="0"/>
    <n v="1.5"/>
    <x v="0"/>
    <x v="0"/>
    <n v="4"/>
    <m/>
    <n v="4"/>
    <n v="5"/>
    <n v="4"/>
    <n v="2"/>
  </r>
  <r>
    <n v="2262"/>
    <n v="120"/>
    <x v="0"/>
    <x v="4"/>
    <n v="1.5"/>
    <x v="1"/>
    <x v="2"/>
    <n v="4"/>
    <m/>
    <n v="4"/>
    <n v="5"/>
    <n v="4"/>
    <n v="2"/>
  </r>
  <r>
    <n v="2263"/>
    <n v="141"/>
    <x v="0"/>
    <x v="1"/>
    <n v="1.5"/>
    <x v="2"/>
    <x v="1"/>
    <n v="4"/>
    <m/>
    <n v="4"/>
    <n v="5"/>
    <n v="4"/>
    <n v="2"/>
  </r>
  <r>
    <n v="2264"/>
    <n v="249"/>
    <x v="0"/>
    <x v="0"/>
    <n v="1.5"/>
    <x v="0"/>
    <x v="0"/>
    <n v="4"/>
    <m/>
    <n v="4"/>
    <n v="5"/>
    <n v="4"/>
    <n v="2"/>
  </r>
  <r>
    <n v="2266"/>
    <n v="128"/>
    <x v="0"/>
    <x v="3"/>
    <n v="1.5"/>
    <x v="2"/>
    <x v="3"/>
    <n v="4"/>
    <m/>
    <n v="4"/>
    <n v="5"/>
    <n v="4"/>
    <n v="2"/>
  </r>
  <r>
    <n v="2271"/>
    <n v="163"/>
    <x v="0"/>
    <x v="7"/>
    <n v="1.5"/>
    <x v="0"/>
    <x v="0"/>
    <n v="4"/>
    <m/>
    <n v="4"/>
    <n v="5"/>
    <n v="4"/>
    <n v="2"/>
  </r>
  <r>
    <n v="2275"/>
    <n v="168"/>
    <x v="0"/>
    <x v="1"/>
    <n v="1.5"/>
    <x v="2"/>
    <x v="1"/>
    <n v="4"/>
    <m/>
    <n v="4"/>
    <n v="5"/>
    <n v="4"/>
    <n v="2"/>
  </r>
  <r>
    <n v="2278"/>
    <n v="53"/>
    <x v="0"/>
    <x v="0"/>
    <n v="1.5"/>
    <x v="0"/>
    <x v="0"/>
    <n v="3"/>
    <s v="M"/>
    <n v="4"/>
    <n v="6"/>
    <n v="3"/>
    <n v="2"/>
  </r>
  <r>
    <n v="2279"/>
    <n v="90"/>
    <x v="0"/>
    <x v="1"/>
    <n v="1.5"/>
    <x v="1"/>
    <x v="1"/>
    <n v="7"/>
    <s v="F"/>
    <n v="3"/>
    <n v="7"/>
    <n v="3"/>
    <n v="2"/>
  </r>
  <r>
    <n v="2281"/>
    <n v="37"/>
    <x v="0"/>
    <x v="5"/>
    <n v="1.5"/>
    <x v="1"/>
    <x v="4"/>
    <n v="7"/>
    <s v="F"/>
    <n v="5"/>
    <n v="3"/>
    <n v="1"/>
    <n v="2"/>
  </r>
  <r>
    <n v="2283"/>
    <n v="259"/>
    <x v="0"/>
    <x v="3"/>
    <n v="1.5"/>
    <x v="2"/>
    <x v="3"/>
    <n v="4"/>
    <m/>
    <n v="4"/>
    <n v="5"/>
    <n v="4"/>
    <n v="2"/>
  </r>
  <r>
    <n v="2284"/>
    <n v="14"/>
    <x v="0"/>
    <x v="7"/>
    <n v="1.5"/>
    <x v="0"/>
    <x v="0"/>
    <n v="3"/>
    <s v="M"/>
    <n v="4"/>
    <n v="3"/>
    <n v="7"/>
    <n v="2"/>
  </r>
  <r>
    <n v="2286"/>
    <n v="60"/>
    <x v="0"/>
    <x v="0"/>
    <n v="1.5"/>
    <x v="0"/>
    <x v="0"/>
    <n v="6"/>
    <s v="F"/>
    <n v="6"/>
    <n v="1"/>
    <n v="2"/>
    <n v="2"/>
  </r>
  <r>
    <n v="2287"/>
    <n v="130"/>
    <x v="0"/>
    <x v="3"/>
    <n v="1.5"/>
    <x v="2"/>
    <x v="3"/>
    <n v="4"/>
    <m/>
    <n v="4"/>
    <n v="5"/>
    <n v="4"/>
    <n v="2"/>
  </r>
  <r>
    <n v="2288"/>
    <n v="174"/>
    <x v="0"/>
    <x v="0"/>
    <n v="1.5"/>
    <x v="0"/>
    <x v="0"/>
    <n v="4"/>
    <m/>
    <n v="4"/>
    <n v="5"/>
    <n v="4"/>
    <n v="2"/>
  </r>
  <r>
    <n v="2290"/>
    <n v="284"/>
    <x v="0"/>
    <x v="7"/>
    <n v="1.5"/>
    <x v="0"/>
    <x v="0"/>
    <n v="4"/>
    <m/>
    <n v="4"/>
    <n v="5"/>
    <n v="4"/>
    <n v="2"/>
  </r>
  <r>
    <n v="2291"/>
    <n v="56"/>
    <x v="0"/>
    <x v="4"/>
    <n v="1.5"/>
    <x v="1"/>
    <x v="2"/>
    <n v="7"/>
    <s v="  M"/>
    <n v="4"/>
    <n v="5"/>
    <n v="6"/>
    <n v="2"/>
  </r>
  <r>
    <n v="2299"/>
    <n v="140"/>
    <x v="0"/>
    <x v="3"/>
    <n v="1.5"/>
    <x v="2"/>
    <x v="3"/>
    <n v="4"/>
    <m/>
    <n v="4"/>
    <n v="5"/>
    <n v="4"/>
    <n v="2"/>
  </r>
  <r>
    <n v="2300"/>
    <n v="205"/>
    <x v="0"/>
    <x v="4"/>
    <n v="1.5"/>
    <x v="1"/>
    <x v="2"/>
    <n v="4"/>
    <m/>
    <n v="4"/>
    <n v="5"/>
    <n v="4"/>
    <n v="2"/>
  </r>
  <r>
    <n v="2303"/>
    <n v="91"/>
    <x v="0"/>
    <x v="0"/>
    <n v="1.5"/>
    <x v="0"/>
    <x v="0"/>
    <n v="3"/>
    <s v="F"/>
    <n v="1"/>
    <n v="7"/>
    <n v="5"/>
    <n v="2"/>
  </r>
  <r>
    <n v="2305"/>
    <n v="239"/>
    <x v="0"/>
    <x v="0"/>
    <n v="1.5"/>
    <x v="0"/>
    <x v="0"/>
    <n v="4"/>
    <m/>
    <n v="4"/>
    <n v="5"/>
    <n v="4"/>
    <n v="2"/>
  </r>
  <r>
    <n v="2306"/>
    <n v="255"/>
    <x v="0"/>
    <x v="3"/>
    <n v="1.5"/>
    <x v="2"/>
    <x v="3"/>
    <n v="4"/>
    <m/>
    <n v="4"/>
    <n v="5"/>
    <n v="4"/>
    <n v="2"/>
  </r>
  <r>
    <n v="2316"/>
    <n v="180"/>
    <x v="0"/>
    <x v="6"/>
    <n v="1.5"/>
    <x v="1"/>
    <x v="1"/>
    <n v="4"/>
    <m/>
    <n v="4"/>
    <n v="5"/>
    <n v="4"/>
    <n v="2"/>
  </r>
  <r>
    <n v="2317"/>
    <n v="268"/>
    <x v="0"/>
    <x v="1"/>
    <n v="1.5"/>
    <x v="2"/>
    <x v="1"/>
    <n v="4"/>
    <m/>
    <n v="4"/>
    <n v="5"/>
    <n v="4"/>
    <n v="2"/>
  </r>
  <r>
    <n v="2319"/>
    <n v="225"/>
    <x v="0"/>
    <x v="7"/>
    <n v="1.5"/>
    <x v="0"/>
    <x v="0"/>
    <n v="4"/>
    <m/>
    <n v="4"/>
    <n v="5"/>
    <n v="4"/>
    <n v="2"/>
  </r>
  <r>
    <n v="2324"/>
    <n v="297"/>
    <x v="0"/>
    <x v="1"/>
    <n v="1.5"/>
    <x v="2"/>
    <x v="1"/>
    <n v="4"/>
    <m/>
    <n v="4"/>
    <n v="5"/>
    <n v="4"/>
    <n v="2"/>
  </r>
  <r>
    <n v="2327"/>
    <n v="99"/>
    <x v="0"/>
    <x v="6"/>
    <n v="1.5"/>
    <x v="1"/>
    <x v="1"/>
    <n v="1"/>
    <s v="F"/>
    <n v="5"/>
    <n v="5"/>
    <n v="7"/>
    <n v="2"/>
  </r>
  <r>
    <n v="2328"/>
    <n v="129"/>
    <x v="0"/>
    <x v="5"/>
    <n v="1.5"/>
    <x v="1"/>
    <x v="4"/>
    <n v="4"/>
    <m/>
    <n v="4"/>
    <n v="5"/>
    <n v="4"/>
    <n v="2"/>
  </r>
  <r>
    <n v="2329"/>
    <n v="172"/>
    <x v="0"/>
    <x v="4"/>
    <n v="1.5"/>
    <x v="1"/>
    <x v="2"/>
    <n v="4"/>
    <m/>
    <n v="4"/>
    <n v="5"/>
    <n v="4"/>
    <n v="2"/>
  </r>
  <r>
    <n v="2213"/>
    <n v="199"/>
    <x v="1"/>
    <x v="0"/>
    <n v="1"/>
    <x v="3"/>
    <x v="5"/>
    <n v="4"/>
    <m/>
    <n v="4"/>
    <n v="5"/>
    <n v="4"/>
    <n v="1"/>
  </r>
  <r>
    <n v="2214"/>
    <n v="203"/>
    <x v="1"/>
    <x v="4"/>
    <n v="1"/>
    <x v="3"/>
    <x v="4"/>
    <n v="4"/>
    <m/>
    <n v="4"/>
    <n v="5"/>
    <n v="4"/>
    <n v="1"/>
  </r>
  <r>
    <n v="2218"/>
    <n v="62"/>
    <x v="1"/>
    <x v="7"/>
    <n v="1"/>
    <x v="3"/>
    <x v="5"/>
    <n v="5"/>
    <s v="F"/>
    <n v="5"/>
    <n v="2"/>
    <n v="3"/>
    <n v="1"/>
  </r>
  <r>
    <n v="2220"/>
    <n v="83"/>
    <x v="1"/>
    <x v="3"/>
    <n v="1"/>
    <x v="4"/>
    <x v="4"/>
    <n v="7"/>
    <s v="F"/>
    <n v="5"/>
    <n v="3"/>
    <n v="1"/>
    <n v="1"/>
  </r>
  <r>
    <n v="2221"/>
    <n v="192"/>
    <x v="1"/>
    <x v="1"/>
    <n v="1"/>
    <x v="4"/>
    <x v="0"/>
    <n v="4"/>
    <m/>
    <n v="4"/>
    <n v="5"/>
    <n v="4"/>
    <n v="1"/>
  </r>
  <r>
    <n v="2222"/>
    <n v="249"/>
    <x v="1"/>
    <x v="8"/>
    <n v="1"/>
    <x v="3"/>
    <x v="5"/>
    <n v="4"/>
    <m/>
    <n v="4"/>
    <n v="5"/>
    <n v="4"/>
    <n v="1"/>
  </r>
  <r>
    <n v="2223"/>
    <n v="82"/>
    <x v="1"/>
    <x v="7"/>
    <n v="1"/>
    <x v="3"/>
    <x v="5"/>
    <n v="3"/>
    <s v="F"/>
    <n v="1"/>
    <n v="7"/>
    <n v="5"/>
    <n v="1"/>
  </r>
  <r>
    <n v="2225"/>
    <n v="284"/>
    <x v="1"/>
    <x v="7"/>
    <n v="1"/>
    <x v="4"/>
    <x v="5"/>
    <n v="4"/>
    <m/>
    <n v="4"/>
    <n v="5"/>
    <n v="4"/>
    <n v="1"/>
  </r>
  <r>
    <n v="2226"/>
    <n v="52"/>
    <x v="1"/>
    <x v="5"/>
    <n v="1"/>
    <x v="3"/>
    <x v="0"/>
    <n v="7"/>
    <s v="M"/>
    <n v="4"/>
    <n v="4"/>
    <n v="6"/>
    <n v="1"/>
  </r>
  <r>
    <n v="2235"/>
    <n v="94"/>
    <x v="1"/>
    <x v="7"/>
    <n v="1"/>
    <x v="4"/>
    <x v="5"/>
    <n v="4"/>
    <s v="F"/>
    <n v="4"/>
    <n v="4"/>
    <n v="7"/>
    <n v="1"/>
  </r>
  <r>
    <n v="2237"/>
    <n v="204"/>
    <x v="1"/>
    <x v="4"/>
    <n v="1"/>
    <x v="3"/>
    <x v="4"/>
    <n v="4"/>
    <m/>
    <n v="4"/>
    <n v="5"/>
    <n v="4"/>
    <n v="1"/>
  </r>
  <r>
    <n v="2238"/>
    <n v="240"/>
    <x v="1"/>
    <x v="7"/>
    <n v="1"/>
    <x v="4"/>
    <x v="5"/>
    <n v="4"/>
    <m/>
    <n v="4"/>
    <n v="5"/>
    <n v="4"/>
    <n v="1"/>
  </r>
  <r>
    <n v="2241"/>
    <n v="30"/>
    <x v="1"/>
    <x v="7"/>
    <n v="1"/>
    <x v="4"/>
    <x v="5"/>
    <n v="2"/>
    <s v="F"/>
    <n v="6"/>
    <n v="2"/>
    <n v="1"/>
    <n v="1"/>
  </r>
  <r>
    <n v="2244"/>
    <n v="55"/>
    <x v="1"/>
    <x v="2"/>
    <n v="1"/>
    <x v="4"/>
    <x v="4"/>
    <n v="4"/>
    <s v="M"/>
    <n v="7"/>
    <n v="2"/>
    <n v="1"/>
    <n v="1"/>
  </r>
  <r>
    <n v="2245"/>
    <n v="100"/>
    <x v="1"/>
    <x v="0"/>
    <n v="1"/>
    <x v="3"/>
    <x v="5"/>
    <n v="4"/>
    <s v="F"/>
    <n v="2"/>
    <n v="6"/>
    <n v="3"/>
    <n v="1"/>
  </r>
  <r>
    <n v="2249"/>
    <n v="199"/>
    <x v="1"/>
    <x v="8"/>
    <n v="1"/>
    <x v="4"/>
    <x v="5"/>
    <n v="4"/>
    <m/>
    <n v="4"/>
    <n v="5"/>
    <n v="4"/>
    <n v="1"/>
  </r>
  <r>
    <n v="2257"/>
    <n v="93"/>
    <x v="1"/>
    <x v="0"/>
    <n v="1"/>
    <x v="3"/>
    <x v="5"/>
    <n v="7"/>
    <s v="F"/>
    <n v="5"/>
    <n v="3"/>
    <n v="2"/>
    <n v="1"/>
  </r>
  <r>
    <n v="2258"/>
    <n v="130"/>
    <x v="1"/>
    <x v="3"/>
    <n v="1"/>
    <x v="4"/>
    <x v="4"/>
    <n v="4"/>
    <m/>
    <n v="4"/>
    <n v="5"/>
    <n v="4"/>
    <n v="1"/>
  </r>
  <r>
    <n v="2261"/>
    <n v="75"/>
    <x v="1"/>
    <x v="4"/>
    <n v="1"/>
    <x v="3"/>
    <x v="4"/>
    <n v="2"/>
    <s v="F"/>
    <n v="3"/>
    <n v="6"/>
    <n v="4"/>
    <n v="1"/>
  </r>
  <r>
    <n v="2265"/>
    <n v="25"/>
    <x v="1"/>
    <x v="9"/>
    <n v="1"/>
    <x v="4"/>
    <x v="4"/>
    <n v="2"/>
    <s v="F"/>
    <n v="5"/>
    <n v="3"/>
    <n v="2"/>
    <n v="1"/>
  </r>
  <r>
    <n v="2267"/>
    <n v="203"/>
    <x v="1"/>
    <x v="3"/>
    <n v="1"/>
    <x v="4"/>
    <x v="4"/>
    <n v="4"/>
    <m/>
    <n v="4"/>
    <n v="5"/>
    <n v="4"/>
    <n v="1"/>
  </r>
  <r>
    <n v="2268"/>
    <n v="277"/>
    <x v="1"/>
    <x v="1"/>
    <n v="1"/>
    <x v="3"/>
    <x v="0"/>
    <n v="4"/>
    <m/>
    <n v="4"/>
    <n v="5"/>
    <n v="4"/>
    <n v="1"/>
  </r>
  <r>
    <n v="2269"/>
    <n v="91"/>
    <x v="1"/>
    <x v="6"/>
    <n v="1"/>
    <x v="3"/>
    <x v="0"/>
    <n v="3"/>
    <s v="F"/>
    <n v="1"/>
    <n v="7"/>
    <n v="5"/>
    <n v="1"/>
  </r>
  <r>
    <n v="2270"/>
    <n v="154"/>
    <x v="1"/>
    <x v="7"/>
    <n v="1"/>
    <x v="4"/>
    <x v="5"/>
    <n v="4"/>
    <m/>
    <n v="4"/>
    <n v="5"/>
    <n v="4"/>
    <n v="1"/>
  </r>
  <r>
    <n v="2272"/>
    <n v="12"/>
    <x v="1"/>
    <x v="1"/>
    <n v="1"/>
    <x v="3"/>
    <x v="0"/>
    <n v="2"/>
    <s v="M"/>
    <n v="3"/>
    <n v="3"/>
    <n v="7"/>
    <n v="1"/>
  </r>
  <r>
    <n v="2273"/>
    <n v="99"/>
    <x v="1"/>
    <x v="8"/>
    <n v="1"/>
    <x v="3"/>
    <x v="5"/>
    <n v="1"/>
    <s v="F"/>
    <n v="5"/>
    <n v="5"/>
    <n v="7"/>
    <n v="1"/>
  </r>
  <r>
    <n v="2274"/>
    <n v="151"/>
    <x v="1"/>
    <x v="5"/>
    <n v="1"/>
    <x v="3"/>
    <x v="0"/>
    <n v="4"/>
    <m/>
    <n v="4"/>
    <n v="5"/>
    <n v="4"/>
    <n v="1"/>
  </r>
  <r>
    <n v="2276"/>
    <n v="246"/>
    <x v="1"/>
    <x v="4"/>
    <n v="1"/>
    <x v="3"/>
    <x v="4"/>
    <n v="4"/>
    <m/>
    <n v="4"/>
    <n v="5"/>
    <n v="4"/>
    <n v="1"/>
  </r>
  <r>
    <n v="2277"/>
    <n v="28"/>
    <x v="1"/>
    <x v="1"/>
    <n v="1"/>
    <x v="3"/>
    <x v="0"/>
    <n v="1"/>
    <s v=" M"/>
    <n v="6"/>
    <n v="5"/>
    <n v="5"/>
    <n v="1"/>
  </r>
  <r>
    <n v="2280"/>
    <n v="165"/>
    <x v="1"/>
    <x v="6"/>
    <n v="1"/>
    <x v="4"/>
    <x v="0"/>
    <n v="4"/>
    <m/>
    <n v="4"/>
    <n v="5"/>
    <n v="4"/>
    <n v="1"/>
  </r>
  <r>
    <n v="2282"/>
    <n v="66"/>
    <x v="1"/>
    <x v="4"/>
    <n v="1"/>
    <x v="3"/>
    <x v="4"/>
    <n v="4"/>
    <s v="F"/>
    <n v="1"/>
    <n v="6"/>
    <n v="4"/>
    <n v="1"/>
  </r>
  <r>
    <n v="2285"/>
    <n v="26"/>
    <x v="1"/>
    <x v="7"/>
    <n v="1"/>
    <x v="3"/>
    <x v="5"/>
    <n v="2"/>
    <s v="   F"/>
    <n v="5"/>
    <n v="3"/>
    <n v="2"/>
    <n v="1"/>
  </r>
  <r>
    <n v="2285"/>
    <n v="26"/>
    <x v="1"/>
    <x v="7"/>
    <n v="1"/>
    <x v="3"/>
    <x v="5"/>
    <n v="2"/>
    <s v="   F"/>
    <n v="5"/>
    <n v="3"/>
    <n v="2"/>
    <n v="1"/>
  </r>
  <r>
    <n v="2289"/>
    <n v="280"/>
    <x v="1"/>
    <x v="9"/>
    <n v="1"/>
    <x v="4"/>
    <x v="4"/>
    <n v="4"/>
    <m/>
    <n v="4"/>
    <n v="5"/>
    <n v="4"/>
    <n v="1"/>
  </r>
  <r>
    <n v="2292"/>
    <n v="68"/>
    <x v="1"/>
    <x v="0"/>
    <n v="1"/>
    <x v="3"/>
    <x v="5"/>
    <n v="4"/>
    <s v="Female"/>
    <n v="2"/>
    <n v="7"/>
    <n v="4"/>
    <n v="1"/>
  </r>
  <r>
    <n v="2293"/>
    <n v="267"/>
    <x v="1"/>
    <x v="1"/>
    <n v="1"/>
    <x v="3"/>
    <x v="0"/>
    <n v="4"/>
    <m/>
    <n v="4"/>
    <n v="5"/>
    <n v="4"/>
    <n v="1"/>
  </r>
  <r>
    <n v="2294"/>
    <n v="268"/>
    <x v="1"/>
    <x v="1"/>
    <n v="1"/>
    <x v="3"/>
    <x v="0"/>
    <n v="4"/>
    <m/>
    <n v="4"/>
    <n v="5"/>
    <n v="4"/>
    <n v="1"/>
  </r>
  <r>
    <n v="2295"/>
    <n v="288"/>
    <x v="1"/>
    <x v="8"/>
    <n v="1"/>
    <x v="4"/>
    <x v="5"/>
    <n v="4"/>
    <m/>
    <n v="4"/>
    <n v="5"/>
    <n v="4"/>
    <n v="1"/>
  </r>
  <r>
    <n v="2296"/>
    <n v="111"/>
    <x v="1"/>
    <x v="3"/>
    <n v="1"/>
    <x v="4"/>
    <x v="4"/>
    <n v="4"/>
    <s v="F"/>
    <n v="3"/>
    <n v="7"/>
    <n v="3"/>
    <n v="1"/>
  </r>
  <r>
    <n v="2297"/>
    <n v="281"/>
    <x v="1"/>
    <x v="7"/>
    <n v="1"/>
    <x v="4"/>
    <x v="5"/>
    <n v="4"/>
    <m/>
    <n v="4"/>
    <n v="5"/>
    <n v="4"/>
    <n v="1"/>
  </r>
  <r>
    <n v="2298"/>
    <n v="69"/>
    <x v="1"/>
    <x v="10"/>
    <n v="1"/>
    <x v="3"/>
    <x v="0"/>
    <n v="3"/>
    <s v="F"/>
    <n v="4"/>
    <n v="3"/>
    <n v="6"/>
    <n v="1"/>
  </r>
  <r>
    <n v="2301"/>
    <n v="35"/>
    <x v="1"/>
    <x v="7"/>
    <n v="1"/>
    <x v="3"/>
    <x v="5"/>
    <n v="7"/>
    <s v="M"/>
    <n v="5"/>
    <n v="2"/>
    <n v="2"/>
    <n v="1"/>
  </r>
  <r>
    <n v="2302"/>
    <n v="83"/>
    <x v="1"/>
    <x v="5"/>
    <n v="1"/>
    <x v="4"/>
    <x v="0"/>
    <n v="7"/>
    <s v="F"/>
    <n v="5"/>
    <n v="3"/>
    <n v="1"/>
    <n v="1"/>
  </r>
  <r>
    <n v="2304"/>
    <n v="154"/>
    <x v="1"/>
    <x v="1"/>
    <n v="1"/>
    <x v="4"/>
    <x v="0"/>
    <n v="4"/>
    <m/>
    <n v="4"/>
    <n v="5"/>
    <n v="4"/>
    <n v="1"/>
  </r>
  <r>
    <n v="2307"/>
    <n v="31"/>
    <x v="1"/>
    <x v="6"/>
    <n v="1"/>
    <x v="4"/>
    <x v="0"/>
    <n v="2"/>
    <s v="    F"/>
    <n v="5"/>
    <n v="5"/>
    <n v="5"/>
    <n v="1"/>
  </r>
  <r>
    <n v="2308"/>
    <n v="71"/>
    <x v="1"/>
    <x v="9"/>
    <n v="1"/>
    <x v="4"/>
    <x v="4"/>
    <n v="3"/>
    <s v="F"/>
    <n v="4"/>
    <n v="4"/>
    <n v="7"/>
    <n v="1"/>
  </r>
  <r>
    <n v="2309"/>
    <n v="142"/>
    <x v="1"/>
    <x v="5"/>
    <n v="1"/>
    <x v="3"/>
    <x v="0"/>
    <n v="4"/>
    <m/>
    <n v="4"/>
    <n v="5"/>
    <n v="4"/>
    <n v="1"/>
  </r>
  <r>
    <n v="2310"/>
    <n v="115"/>
    <x v="1"/>
    <x v="6"/>
    <n v="1"/>
    <x v="4"/>
    <x v="0"/>
    <n v="2"/>
    <s v="F"/>
    <n v="2"/>
    <n v="5"/>
    <n v="5"/>
    <n v="1"/>
  </r>
  <r>
    <n v="2311"/>
    <n v="52"/>
    <x v="1"/>
    <x v="10"/>
    <n v="1"/>
    <x v="3"/>
    <x v="0"/>
    <n v="7"/>
    <s v="M"/>
    <n v="4"/>
    <n v="4"/>
    <n v="6"/>
    <n v="1"/>
  </r>
  <r>
    <n v="2312"/>
    <n v="75"/>
    <x v="1"/>
    <x v="3"/>
    <n v="1"/>
    <x v="4"/>
    <x v="4"/>
    <n v="2"/>
    <s v="F"/>
    <n v="3"/>
    <n v="6"/>
    <n v="4"/>
    <n v="1"/>
  </r>
  <r>
    <n v="2313"/>
    <n v="256"/>
    <x v="1"/>
    <x v="9"/>
    <n v="1"/>
    <x v="4"/>
    <x v="4"/>
    <n v="4"/>
    <m/>
    <n v="4"/>
    <n v="5"/>
    <n v="4"/>
    <n v="1"/>
  </r>
  <r>
    <n v="2314"/>
    <n v="10"/>
    <x v="1"/>
    <x v="8"/>
    <n v="1"/>
    <x v="3"/>
    <x v="5"/>
    <n v="3"/>
    <s v="F"/>
    <n v="1"/>
    <n v="5"/>
    <n v="3"/>
    <n v="1"/>
  </r>
  <r>
    <n v="2315"/>
    <n v="121"/>
    <x v="1"/>
    <x v="10"/>
    <n v="1"/>
    <x v="4"/>
    <x v="0"/>
    <n v="4"/>
    <m/>
    <n v="4"/>
    <n v="5"/>
    <n v="4"/>
    <n v="1"/>
  </r>
  <r>
    <n v="2318"/>
    <n v="274"/>
    <x v="1"/>
    <x v="4"/>
    <n v="1"/>
    <x v="3"/>
    <x v="4"/>
    <n v="4"/>
    <m/>
    <n v="4"/>
    <n v="5"/>
    <n v="4"/>
    <n v="1"/>
  </r>
  <r>
    <n v="2320"/>
    <n v="45"/>
    <x v="1"/>
    <x v="9"/>
    <n v="1"/>
    <x v="4"/>
    <x v="4"/>
    <n v="4"/>
    <s v="F"/>
    <n v="3"/>
    <n v="4"/>
    <n v="6"/>
    <n v="1"/>
  </r>
  <r>
    <n v="2321"/>
    <n v="160"/>
    <x v="1"/>
    <x v="7"/>
    <n v="1"/>
    <x v="4"/>
    <x v="5"/>
    <n v="4"/>
    <m/>
    <n v="4"/>
    <n v="5"/>
    <n v="4"/>
    <n v="1"/>
  </r>
  <r>
    <n v="2322"/>
    <n v="190"/>
    <x v="1"/>
    <x v="1"/>
    <n v="1"/>
    <x v="3"/>
    <x v="0"/>
    <n v="4"/>
    <m/>
    <n v="4"/>
    <n v="5"/>
    <n v="4"/>
    <n v="1"/>
  </r>
  <r>
    <n v="2323"/>
    <n v="191"/>
    <x v="1"/>
    <x v="0"/>
    <n v="1"/>
    <x v="3"/>
    <x v="5"/>
    <n v="4"/>
    <m/>
    <n v="4"/>
    <n v="5"/>
    <n v="4"/>
    <n v="1"/>
  </r>
  <r>
    <n v="2325"/>
    <n v="64"/>
    <x v="1"/>
    <x v="7"/>
    <n v="1"/>
    <x v="4"/>
    <x v="5"/>
    <n v="6"/>
    <s v="F"/>
    <n v="5"/>
    <n v="2"/>
    <n v="1"/>
    <n v="1"/>
  </r>
  <r>
    <n v="2326"/>
    <n v="67"/>
    <x v="1"/>
    <x v="5"/>
    <n v="1"/>
    <x v="4"/>
    <x v="0"/>
    <n v="4"/>
    <s v="F"/>
    <n v="2"/>
    <n v="7"/>
    <n v="4"/>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n v="157"/>
    <x v="0"/>
    <n v="1"/>
    <n v="1.5"/>
    <n v="3.5"/>
    <n v="1"/>
    <n v="4"/>
    <m/>
    <n v="4"/>
    <n v="5"/>
    <n v="4"/>
    <n v="2"/>
  </r>
  <r>
    <n v="296"/>
    <x v="0"/>
    <n v="6"/>
    <n v="1.5"/>
    <n v="3"/>
    <n v="3"/>
    <n v="4"/>
    <m/>
    <n v="4"/>
    <n v="5"/>
    <n v="4"/>
    <n v="2"/>
  </r>
  <r>
    <n v="44"/>
    <x v="0"/>
    <n v="6"/>
    <n v="1.5"/>
    <n v="3"/>
    <n v="3"/>
    <n v="4"/>
    <s v=" M"/>
    <n v="2"/>
    <n v="7"/>
    <n v="4"/>
    <n v="2"/>
  </r>
  <r>
    <n v="194"/>
    <x v="0"/>
    <n v="6"/>
    <n v="1.5"/>
    <n v="2.5"/>
    <n v="3"/>
    <n v="4"/>
    <m/>
    <n v="4"/>
    <n v="5"/>
    <n v="4"/>
    <n v="2"/>
  </r>
  <r>
    <n v="73"/>
    <x v="0"/>
    <n v="1"/>
    <n v="1.5"/>
    <n v="3.5"/>
    <n v="1"/>
    <n v="1"/>
    <s v="F"/>
    <n v="4"/>
    <n v="7"/>
    <n v="3"/>
    <n v="2"/>
  </r>
  <r>
    <n v="209"/>
    <x v="0"/>
    <n v="8"/>
    <n v="1.5"/>
    <n v="2.5"/>
    <n v="4"/>
    <n v="4"/>
    <m/>
    <n v="4"/>
    <n v="5"/>
    <n v="4"/>
    <n v="2"/>
  </r>
  <r>
    <n v="138"/>
    <x v="0"/>
    <n v="9"/>
    <n v="1.5"/>
    <n v="2.5"/>
    <n v="5"/>
    <n v="4"/>
    <m/>
    <n v="4"/>
    <n v="5"/>
    <n v="4"/>
    <n v="2"/>
  </r>
  <r>
    <n v="237"/>
    <x v="0"/>
    <n v="7"/>
    <n v="1.5"/>
    <n v="2.5"/>
    <n v="4"/>
    <n v="4"/>
    <m/>
    <n v="4"/>
    <n v="5"/>
    <n v="4"/>
    <n v="2"/>
  </r>
  <r>
    <n v="260"/>
    <x v="0"/>
    <n v="6"/>
    <n v="1.5"/>
    <n v="3"/>
    <n v="3"/>
    <n v="4"/>
    <m/>
    <n v="4"/>
    <n v="5"/>
    <n v="4"/>
    <n v="2"/>
  </r>
  <r>
    <n v="51"/>
    <x v="0"/>
    <n v="6"/>
    <n v="1.5"/>
    <n v="2.5"/>
    <n v="3"/>
    <n v="2"/>
    <s v="M"/>
    <n v="7"/>
    <n v="3"/>
    <n v="3"/>
    <n v="2"/>
  </r>
  <r>
    <n v="82"/>
    <x v="0"/>
    <n v="6"/>
    <n v="1.5"/>
    <n v="3"/>
    <n v="3"/>
    <n v="3"/>
    <s v="F"/>
    <n v="1"/>
    <n v="7"/>
    <n v="5"/>
    <n v="2"/>
  </r>
  <r>
    <n v="230"/>
    <x v="0"/>
    <n v="4"/>
    <n v="1.5"/>
    <n v="3"/>
    <n v="2"/>
    <n v="4"/>
    <m/>
    <n v="4"/>
    <n v="5"/>
    <n v="4"/>
    <n v="2"/>
  </r>
  <r>
    <n v="2"/>
    <x v="0"/>
    <n v="5"/>
    <n v="1.5"/>
    <n v="3"/>
    <n v="3"/>
    <n v="3"/>
    <s v="M"/>
    <n v="2"/>
    <n v="7"/>
    <n v="5"/>
    <n v="2"/>
  </r>
  <r>
    <n v="78"/>
    <x v="0"/>
    <n v="2"/>
    <n v="1.5"/>
    <n v="3.5"/>
    <n v="1"/>
    <n v="4"/>
    <s v="F"/>
    <n v="4"/>
    <n v="5"/>
    <n v="6"/>
    <n v="2"/>
  </r>
  <r>
    <n v="133"/>
    <x v="0"/>
    <n v="1"/>
    <n v="1.5"/>
    <n v="3.5"/>
    <n v="1"/>
    <n v="4"/>
    <m/>
    <n v="4"/>
    <n v="5"/>
    <n v="4"/>
    <n v="2"/>
  </r>
  <r>
    <n v="248"/>
    <x v="0"/>
    <n v="2"/>
    <n v="1.5"/>
    <n v="3.5"/>
    <n v="1"/>
    <n v="4"/>
    <m/>
    <n v="4"/>
    <n v="5"/>
    <n v="4"/>
    <n v="2"/>
  </r>
  <r>
    <n v="276"/>
    <x v="0"/>
    <n v="6"/>
    <n v="1.5"/>
    <n v="3"/>
    <n v="3"/>
    <n v="4"/>
    <m/>
    <n v="4"/>
    <n v="5"/>
    <n v="4"/>
    <n v="2"/>
  </r>
  <r>
    <n v="148"/>
    <x v="0"/>
    <n v="6"/>
    <n v="1.5"/>
    <n v="3"/>
    <n v="3"/>
    <n v="4"/>
    <m/>
    <n v="4"/>
    <n v="5"/>
    <n v="4"/>
    <n v="2"/>
  </r>
  <r>
    <n v="152"/>
    <x v="0"/>
    <n v="7"/>
    <n v="1.5"/>
    <n v="3"/>
    <n v="4"/>
    <n v="4"/>
    <m/>
    <n v="4"/>
    <n v="5"/>
    <n v="4"/>
    <n v="2"/>
  </r>
  <r>
    <n v="128"/>
    <x v="0"/>
    <n v="7"/>
    <n v="1.5"/>
    <n v="2.5"/>
    <n v="4"/>
    <n v="4"/>
    <m/>
    <n v="4"/>
    <n v="5"/>
    <n v="4"/>
    <n v="2"/>
  </r>
  <r>
    <n v="137"/>
    <x v="0"/>
    <n v="9"/>
    <n v="1.5"/>
    <n v="2.5"/>
    <n v="5"/>
    <n v="4"/>
    <m/>
    <n v="4"/>
    <n v="5"/>
    <n v="4"/>
    <n v="2"/>
  </r>
  <r>
    <n v="139"/>
    <x v="0"/>
    <n v="2"/>
    <n v="1.5"/>
    <n v="3.5"/>
    <n v="1"/>
    <n v="4"/>
    <m/>
    <n v="4"/>
    <n v="5"/>
    <n v="4"/>
    <n v="2"/>
  </r>
  <r>
    <n v="238"/>
    <x v="0"/>
    <n v="4"/>
    <n v="1.5"/>
    <n v="3"/>
    <n v="2"/>
    <n v="4"/>
    <m/>
    <n v="4"/>
    <n v="5"/>
    <n v="4"/>
    <n v="2"/>
  </r>
  <r>
    <n v="249"/>
    <x v="0"/>
    <n v="1"/>
    <n v="1.5"/>
    <n v="3.5"/>
    <n v="1"/>
    <n v="4"/>
    <m/>
    <n v="4"/>
    <n v="5"/>
    <n v="4"/>
    <n v="2"/>
  </r>
  <r>
    <n v="276"/>
    <x v="0"/>
    <n v="2"/>
    <n v="1.5"/>
    <n v="3.5"/>
    <n v="1"/>
    <n v="4"/>
    <m/>
    <n v="4"/>
    <n v="5"/>
    <n v="4"/>
    <n v="2"/>
  </r>
  <r>
    <n v="154"/>
    <x v="0"/>
    <n v="7"/>
    <n v="1.5"/>
    <n v="3"/>
    <n v="4"/>
    <n v="4"/>
    <m/>
    <n v="4"/>
    <n v="5"/>
    <n v="4"/>
    <n v="2"/>
  </r>
  <r>
    <n v="178"/>
    <x v="0"/>
    <n v="8"/>
    <n v="1.5"/>
    <n v="2.5"/>
    <n v="4"/>
    <n v="4"/>
    <m/>
    <n v="4"/>
    <n v="5"/>
    <n v="4"/>
    <n v="2"/>
  </r>
  <r>
    <n v="53"/>
    <x v="0"/>
    <n v="1"/>
    <n v="1.5"/>
    <n v="3.5"/>
    <n v="1"/>
    <n v="3"/>
    <s v="M"/>
    <n v="4"/>
    <n v="6"/>
    <n v="3"/>
    <n v="2"/>
  </r>
  <r>
    <n v="89"/>
    <x v="0"/>
    <n v="7"/>
    <n v="1.5"/>
    <n v="2.5"/>
    <n v="4"/>
    <n v="4"/>
    <s v="F"/>
    <n v="3"/>
    <n v="7"/>
    <n v="4"/>
    <n v="2"/>
  </r>
  <r>
    <n v="227"/>
    <x v="0"/>
    <n v="9"/>
    <n v="1.5"/>
    <n v="2.5"/>
    <n v="5"/>
    <n v="4"/>
    <m/>
    <n v="4"/>
    <n v="5"/>
    <n v="4"/>
    <n v="2"/>
  </r>
  <r>
    <n v="231"/>
    <x v="0"/>
    <n v="1"/>
    <n v="1.5"/>
    <n v="3.5"/>
    <n v="1"/>
    <n v="4"/>
    <m/>
    <n v="4"/>
    <n v="5"/>
    <n v="4"/>
    <n v="2"/>
  </r>
  <r>
    <n v="120"/>
    <x v="0"/>
    <n v="7"/>
    <n v="1.5"/>
    <n v="3"/>
    <n v="4"/>
    <n v="4"/>
    <m/>
    <n v="4"/>
    <n v="5"/>
    <n v="4"/>
    <n v="2"/>
  </r>
  <r>
    <n v="141"/>
    <x v="0"/>
    <n v="6"/>
    <n v="1.5"/>
    <n v="2.5"/>
    <n v="3"/>
    <n v="4"/>
    <m/>
    <n v="4"/>
    <n v="5"/>
    <n v="4"/>
    <n v="2"/>
  </r>
  <r>
    <n v="249"/>
    <x v="0"/>
    <n v="1"/>
    <n v="1.5"/>
    <n v="3.5"/>
    <n v="1"/>
    <n v="4"/>
    <m/>
    <n v="4"/>
    <n v="5"/>
    <n v="4"/>
    <n v="2"/>
  </r>
  <r>
    <n v="128"/>
    <x v="0"/>
    <n v="9"/>
    <n v="1.5"/>
    <n v="2.5"/>
    <n v="5"/>
    <n v="4"/>
    <m/>
    <n v="4"/>
    <n v="5"/>
    <n v="4"/>
    <n v="2"/>
  </r>
  <r>
    <n v="163"/>
    <x v="0"/>
    <n v="2"/>
    <n v="1.5"/>
    <n v="3.5"/>
    <n v="1"/>
    <n v="4"/>
    <m/>
    <n v="4"/>
    <n v="5"/>
    <n v="4"/>
    <n v="2"/>
  </r>
  <r>
    <n v="168"/>
    <x v="0"/>
    <n v="6"/>
    <n v="1.5"/>
    <n v="2.5"/>
    <n v="3"/>
    <n v="4"/>
    <m/>
    <n v="4"/>
    <n v="5"/>
    <n v="4"/>
    <n v="2"/>
  </r>
  <r>
    <n v="53"/>
    <x v="0"/>
    <n v="1"/>
    <n v="1.5"/>
    <n v="3.5"/>
    <n v="1"/>
    <n v="3"/>
    <s v="M"/>
    <n v="4"/>
    <n v="6"/>
    <n v="3"/>
    <n v="2"/>
  </r>
  <r>
    <n v="90"/>
    <x v="0"/>
    <n v="6"/>
    <n v="1.5"/>
    <n v="3"/>
    <n v="3"/>
    <n v="7"/>
    <s v="F"/>
    <n v="3"/>
    <n v="7"/>
    <n v="3"/>
    <n v="2"/>
  </r>
  <r>
    <n v="37"/>
    <x v="0"/>
    <n v="4"/>
    <n v="1.5"/>
    <n v="3"/>
    <n v="2"/>
    <n v="7"/>
    <s v="F"/>
    <n v="5"/>
    <n v="3"/>
    <n v="1"/>
    <n v="2"/>
  </r>
  <r>
    <n v="259"/>
    <x v="0"/>
    <n v="9"/>
    <n v="1.5"/>
    <n v="2.5"/>
    <n v="5"/>
    <n v="4"/>
    <m/>
    <n v="4"/>
    <n v="5"/>
    <n v="4"/>
    <n v="2"/>
  </r>
  <r>
    <n v="14"/>
    <x v="0"/>
    <n v="2"/>
    <n v="1.5"/>
    <n v="3.5"/>
    <n v="1"/>
    <n v="3"/>
    <s v="M"/>
    <n v="4"/>
    <n v="3"/>
    <n v="7"/>
    <n v="2"/>
  </r>
  <r>
    <n v="60"/>
    <x v="0"/>
    <n v="1"/>
    <n v="1.5"/>
    <n v="3.5"/>
    <n v="1"/>
    <n v="6"/>
    <s v="F"/>
    <n v="6"/>
    <n v="1"/>
    <n v="2"/>
    <n v="2"/>
  </r>
  <r>
    <n v="130"/>
    <x v="0"/>
    <n v="9"/>
    <n v="1.5"/>
    <n v="2.5"/>
    <n v="5"/>
    <n v="4"/>
    <m/>
    <n v="4"/>
    <n v="5"/>
    <n v="4"/>
    <n v="2"/>
  </r>
  <r>
    <n v="174"/>
    <x v="0"/>
    <n v="1"/>
    <n v="1.5"/>
    <n v="3.5"/>
    <n v="1"/>
    <n v="4"/>
    <m/>
    <n v="4"/>
    <n v="5"/>
    <n v="4"/>
    <n v="2"/>
  </r>
  <r>
    <n v="284"/>
    <x v="0"/>
    <n v="2"/>
    <n v="1.5"/>
    <n v="3.5"/>
    <n v="1"/>
    <n v="4"/>
    <m/>
    <n v="4"/>
    <n v="5"/>
    <n v="4"/>
    <n v="2"/>
  </r>
  <r>
    <n v="56"/>
    <x v="0"/>
    <n v="7"/>
    <n v="1.5"/>
    <n v="3"/>
    <n v="4"/>
    <n v="7"/>
    <s v="  M"/>
    <n v="4"/>
    <n v="5"/>
    <n v="6"/>
    <n v="2"/>
  </r>
  <r>
    <n v="140"/>
    <x v="0"/>
    <n v="9"/>
    <n v="1.5"/>
    <n v="2.5"/>
    <n v="5"/>
    <n v="4"/>
    <m/>
    <n v="4"/>
    <n v="5"/>
    <n v="4"/>
    <n v="2"/>
  </r>
  <r>
    <n v="205"/>
    <x v="0"/>
    <n v="7"/>
    <n v="1.5"/>
    <n v="3"/>
    <n v="4"/>
    <n v="4"/>
    <m/>
    <n v="4"/>
    <n v="5"/>
    <n v="4"/>
    <n v="2"/>
  </r>
  <r>
    <n v="91"/>
    <x v="0"/>
    <n v="1"/>
    <n v="1.5"/>
    <n v="3.5"/>
    <n v="1"/>
    <n v="3"/>
    <s v="F"/>
    <n v="1"/>
    <n v="7"/>
    <n v="5"/>
    <n v="2"/>
  </r>
  <r>
    <n v="239"/>
    <x v="0"/>
    <n v="1"/>
    <n v="1.5"/>
    <n v="3.5"/>
    <n v="1"/>
    <n v="4"/>
    <m/>
    <n v="4"/>
    <n v="5"/>
    <n v="4"/>
    <n v="2"/>
  </r>
  <r>
    <n v="255"/>
    <x v="0"/>
    <n v="9"/>
    <n v="1.5"/>
    <n v="2.5"/>
    <n v="5"/>
    <n v="4"/>
    <m/>
    <n v="4"/>
    <n v="5"/>
    <n v="4"/>
    <n v="2"/>
  </r>
  <r>
    <n v="180"/>
    <x v="0"/>
    <n v="5"/>
    <n v="1.5"/>
    <n v="3"/>
    <n v="3"/>
    <n v="4"/>
    <m/>
    <n v="4"/>
    <n v="5"/>
    <n v="4"/>
    <n v="2"/>
  </r>
  <r>
    <n v="268"/>
    <x v="0"/>
    <n v="6"/>
    <n v="1.5"/>
    <n v="2.5"/>
    <n v="3"/>
    <n v="4"/>
    <m/>
    <n v="4"/>
    <n v="5"/>
    <n v="4"/>
    <n v="2"/>
  </r>
  <r>
    <n v="225"/>
    <x v="0"/>
    <n v="2"/>
    <n v="1.5"/>
    <n v="3.5"/>
    <n v="1"/>
    <n v="4"/>
    <m/>
    <n v="4"/>
    <n v="5"/>
    <n v="4"/>
    <n v="2"/>
  </r>
  <r>
    <n v="297"/>
    <x v="0"/>
    <n v="6"/>
    <n v="1.5"/>
    <n v="2.5"/>
    <n v="3"/>
    <n v="4"/>
    <m/>
    <n v="4"/>
    <n v="5"/>
    <n v="4"/>
    <n v="2"/>
  </r>
  <r>
    <n v="99"/>
    <x v="0"/>
    <n v="5"/>
    <n v="1.5"/>
    <n v="3"/>
    <n v="3"/>
    <n v="1"/>
    <s v="F"/>
    <n v="5"/>
    <n v="5"/>
    <n v="7"/>
    <n v="2"/>
  </r>
  <r>
    <n v="129"/>
    <x v="0"/>
    <n v="4"/>
    <n v="1.5"/>
    <n v="3"/>
    <n v="2"/>
    <n v="4"/>
    <m/>
    <n v="4"/>
    <n v="5"/>
    <n v="4"/>
    <n v="2"/>
  </r>
  <r>
    <n v="172"/>
    <x v="0"/>
    <n v="7"/>
    <n v="1.5"/>
    <n v="3"/>
    <n v="4"/>
    <n v="4"/>
    <m/>
    <n v="4"/>
    <n v="5"/>
    <n v="4"/>
    <n v="2"/>
  </r>
  <r>
    <n v="199"/>
    <x v="1"/>
    <n v="1"/>
    <n v="1"/>
    <n v="2.2999999999999998"/>
    <n v="0"/>
    <n v="4"/>
    <m/>
    <n v="4"/>
    <n v="5"/>
    <n v="4"/>
    <n v="1"/>
  </r>
  <r>
    <n v="203"/>
    <x v="1"/>
    <n v="7"/>
    <n v="1"/>
    <n v="2.2999999999999998"/>
    <n v="2"/>
    <n v="4"/>
    <m/>
    <n v="4"/>
    <n v="5"/>
    <n v="4"/>
    <n v="1"/>
  </r>
  <r>
    <n v="62"/>
    <x v="1"/>
    <n v="2"/>
    <n v="1"/>
    <n v="2.2999999999999998"/>
    <n v="0"/>
    <n v="5"/>
    <s v="F"/>
    <n v="5"/>
    <n v="2"/>
    <n v="3"/>
    <n v="1"/>
  </r>
  <r>
    <n v="83"/>
    <x v="1"/>
    <n v="9"/>
    <n v="1"/>
    <n v="2"/>
    <n v="2"/>
    <n v="7"/>
    <s v="F"/>
    <n v="5"/>
    <n v="3"/>
    <n v="1"/>
    <n v="1"/>
  </r>
  <r>
    <n v="192"/>
    <x v="1"/>
    <n v="6"/>
    <n v="1"/>
    <n v="2"/>
    <n v="1"/>
    <n v="4"/>
    <m/>
    <n v="4"/>
    <n v="5"/>
    <n v="4"/>
    <n v="1"/>
  </r>
  <r>
    <n v="249"/>
    <x v="1"/>
    <n v="0"/>
    <n v="1"/>
    <n v="2.2999999999999998"/>
    <n v="0"/>
    <n v="4"/>
    <m/>
    <n v="4"/>
    <n v="5"/>
    <n v="4"/>
    <n v="1"/>
  </r>
  <r>
    <n v="82"/>
    <x v="1"/>
    <n v="2"/>
    <n v="1"/>
    <n v="2.2999999999999998"/>
    <n v="0"/>
    <n v="3"/>
    <s v="F"/>
    <n v="1"/>
    <n v="7"/>
    <n v="5"/>
    <n v="1"/>
  </r>
  <r>
    <n v="284"/>
    <x v="1"/>
    <n v="2"/>
    <n v="1"/>
    <n v="2"/>
    <n v="0"/>
    <n v="4"/>
    <m/>
    <n v="4"/>
    <n v="5"/>
    <n v="4"/>
    <n v="1"/>
  </r>
  <r>
    <n v="52"/>
    <x v="1"/>
    <n v="4"/>
    <n v="1"/>
    <n v="2.2999999999999998"/>
    <n v="1"/>
    <n v="7"/>
    <s v="M"/>
    <n v="4"/>
    <n v="4"/>
    <n v="6"/>
    <n v="1"/>
  </r>
  <r>
    <n v="94"/>
    <x v="1"/>
    <n v="2"/>
    <n v="1"/>
    <n v="2"/>
    <n v="0"/>
    <n v="4"/>
    <s v="F"/>
    <n v="4"/>
    <n v="4"/>
    <n v="7"/>
    <n v="1"/>
  </r>
  <r>
    <n v="204"/>
    <x v="1"/>
    <n v="7"/>
    <n v="1"/>
    <n v="2.2999999999999998"/>
    <n v="2"/>
    <n v="4"/>
    <m/>
    <n v="4"/>
    <n v="5"/>
    <n v="4"/>
    <n v="1"/>
  </r>
  <r>
    <n v="240"/>
    <x v="1"/>
    <n v="2"/>
    <n v="1"/>
    <n v="2"/>
    <n v="0"/>
    <n v="4"/>
    <m/>
    <n v="4"/>
    <n v="5"/>
    <n v="4"/>
    <n v="1"/>
  </r>
  <r>
    <n v="30"/>
    <x v="1"/>
    <n v="2"/>
    <n v="1"/>
    <n v="2"/>
    <n v="0"/>
    <n v="2"/>
    <s v="F"/>
    <n v="6"/>
    <n v="2"/>
    <n v="1"/>
    <n v="1"/>
  </r>
  <r>
    <n v="55"/>
    <x v="1"/>
    <n v="8"/>
    <n v="1"/>
    <n v="2"/>
    <n v="2"/>
    <n v="4"/>
    <s v="M"/>
    <n v="7"/>
    <n v="2"/>
    <n v="1"/>
    <n v="1"/>
  </r>
  <r>
    <n v="100"/>
    <x v="1"/>
    <n v="1"/>
    <n v="1"/>
    <n v="2.2999999999999998"/>
    <n v="0"/>
    <n v="4"/>
    <s v="F"/>
    <n v="2"/>
    <n v="6"/>
    <n v="3"/>
    <n v="1"/>
  </r>
  <r>
    <n v="199"/>
    <x v="1"/>
    <n v="0"/>
    <n v="1"/>
    <n v="2"/>
    <n v="0"/>
    <n v="4"/>
    <m/>
    <n v="4"/>
    <n v="5"/>
    <n v="4"/>
    <n v="1"/>
  </r>
  <r>
    <n v="93"/>
    <x v="1"/>
    <n v="1"/>
    <n v="1"/>
    <n v="2.2999999999999998"/>
    <n v="0"/>
    <n v="7"/>
    <s v="F"/>
    <n v="5"/>
    <n v="3"/>
    <n v="2"/>
    <n v="1"/>
  </r>
  <r>
    <n v="130"/>
    <x v="1"/>
    <n v="9"/>
    <n v="1"/>
    <n v="2"/>
    <n v="2"/>
    <n v="4"/>
    <m/>
    <n v="4"/>
    <n v="5"/>
    <n v="4"/>
    <n v="1"/>
  </r>
  <r>
    <n v="75"/>
    <x v="1"/>
    <n v="7"/>
    <n v="1"/>
    <n v="2.2999999999999998"/>
    <n v="2"/>
    <n v="2"/>
    <s v="F"/>
    <n v="3"/>
    <n v="6"/>
    <n v="4"/>
    <n v="1"/>
  </r>
  <r>
    <n v="25"/>
    <x v="1"/>
    <n v="10"/>
    <n v="1"/>
    <n v="2"/>
    <n v="2"/>
    <n v="2"/>
    <s v="F"/>
    <n v="5"/>
    <n v="3"/>
    <n v="2"/>
    <n v="1"/>
  </r>
  <r>
    <n v="203"/>
    <x v="1"/>
    <n v="9"/>
    <n v="1"/>
    <n v="2"/>
    <n v="2"/>
    <n v="4"/>
    <m/>
    <n v="4"/>
    <n v="5"/>
    <n v="4"/>
    <n v="1"/>
  </r>
  <r>
    <n v="277"/>
    <x v="1"/>
    <n v="6"/>
    <n v="1"/>
    <n v="2.2999999999999998"/>
    <n v="1"/>
    <n v="4"/>
    <m/>
    <n v="4"/>
    <n v="5"/>
    <n v="4"/>
    <n v="1"/>
  </r>
  <r>
    <n v="91"/>
    <x v="1"/>
    <n v="5"/>
    <n v="1"/>
    <n v="2.2999999999999998"/>
    <n v="1"/>
    <n v="3"/>
    <s v="F"/>
    <n v="1"/>
    <n v="7"/>
    <n v="5"/>
    <n v="1"/>
  </r>
  <r>
    <n v="154"/>
    <x v="1"/>
    <n v="2"/>
    <n v="1"/>
    <n v="2"/>
    <n v="0"/>
    <n v="4"/>
    <m/>
    <n v="4"/>
    <n v="5"/>
    <n v="4"/>
    <n v="1"/>
  </r>
  <r>
    <n v="12"/>
    <x v="1"/>
    <n v="6"/>
    <n v="1"/>
    <n v="2.2999999999999998"/>
    <n v="1"/>
    <n v="2"/>
    <s v="M"/>
    <n v="3"/>
    <n v="3"/>
    <n v="7"/>
    <n v="1"/>
  </r>
  <r>
    <n v="99"/>
    <x v="1"/>
    <n v="0"/>
    <n v="1"/>
    <n v="2.2999999999999998"/>
    <n v="0"/>
    <n v="1"/>
    <s v="F"/>
    <n v="5"/>
    <n v="5"/>
    <n v="7"/>
    <n v="1"/>
  </r>
  <r>
    <n v="151"/>
    <x v="1"/>
    <n v="4"/>
    <n v="1"/>
    <n v="2.2999999999999998"/>
    <n v="1"/>
    <n v="4"/>
    <m/>
    <n v="4"/>
    <n v="5"/>
    <n v="4"/>
    <n v="1"/>
  </r>
  <r>
    <n v="246"/>
    <x v="1"/>
    <n v="7"/>
    <n v="1"/>
    <n v="2.2999999999999998"/>
    <n v="2"/>
    <n v="4"/>
    <m/>
    <n v="4"/>
    <n v="5"/>
    <n v="4"/>
    <n v="1"/>
  </r>
  <r>
    <n v="28"/>
    <x v="1"/>
    <n v="6"/>
    <n v="1"/>
    <n v="2.2999999999999998"/>
    <n v="1"/>
    <n v="1"/>
    <s v=" M"/>
    <n v="6"/>
    <n v="5"/>
    <n v="5"/>
    <n v="1"/>
  </r>
  <r>
    <n v="165"/>
    <x v="1"/>
    <n v="5"/>
    <n v="1"/>
    <n v="2"/>
    <n v="1"/>
    <n v="4"/>
    <m/>
    <n v="4"/>
    <n v="5"/>
    <n v="4"/>
    <n v="1"/>
  </r>
  <r>
    <n v="66"/>
    <x v="1"/>
    <n v="7"/>
    <n v="1"/>
    <n v="2.2999999999999998"/>
    <n v="2"/>
    <n v="4"/>
    <s v="F"/>
    <n v="1"/>
    <n v="6"/>
    <n v="4"/>
    <n v="1"/>
  </r>
  <r>
    <n v="26"/>
    <x v="1"/>
    <n v="2"/>
    <n v="1"/>
    <n v="2.2999999999999998"/>
    <n v="0"/>
    <n v="2"/>
    <s v="   F"/>
    <n v="5"/>
    <n v="3"/>
    <n v="2"/>
    <n v="1"/>
  </r>
  <r>
    <n v="26"/>
    <x v="1"/>
    <n v="2"/>
    <n v="1"/>
    <n v="2.2999999999999998"/>
    <n v="0"/>
    <n v="2"/>
    <s v="   F"/>
    <n v="5"/>
    <n v="3"/>
    <n v="2"/>
    <n v="1"/>
  </r>
  <r>
    <n v="280"/>
    <x v="1"/>
    <n v="10"/>
    <n v="1"/>
    <n v="2"/>
    <n v="2"/>
    <n v="4"/>
    <m/>
    <n v="4"/>
    <n v="5"/>
    <n v="4"/>
    <n v="1"/>
  </r>
  <r>
    <n v="68"/>
    <x v="1"/>
    <n v="1"/>
    <n v="1"/>
    <n v="2.2999999999999998"/>
    <n v="0"/>
    <n v="4"/>
    <s v="Female"/>
    <n v="2"/>
    <n v="7"/>
    <n v="4"/>
    <n v="1"/>
  </r>
  <r>
    <n v="267"/>
    <x v="1"/>
    <n v="6"/>
    <n v="1"/>
    <n v="2.2999999999999998"/>
    <n v="1"/>
    <n v="4"/>
    <m/>
    <n v="4"/>
    <n v="5"/>
    <n v="4"/>
    <n v="1"/>
  </r>
  <r>
    <n v="268"/>
    <x v="1"/>
    <n v="6"/>
    <n v="1"/>
    <n v="2.2999999999999998"/>
    <n v="1"/>
    <n v="4"/>
    <m/>
    <n v="4"/>
    <n v="5"/>
    <n v="4"/>
    <n v="1"/>
  </r>
  <r>
    <n v="288"/>
    <x v="1"/>
    <n v="0"/>
    <n v="1"/>
    <n v="2"/>
    <n v="0"/>
    <n v="4"/>
    <m/>
    <n v="4"/>
    <n v="5"/>
    <n v="4"/>
    <n v="1"/>
  </r>
  <r>
    <n v="111"/>
    <x v="1"/>
    <n v="9"/>
    <n v="1"/>
    <n v="2"/>
    <n v="2"/>
    <n v="4"/>
    <s v="F"/>
    <n v="3"/>
    <n v="7"/>
    <n v="3"/>
    <n v="1"/>
  </r>
  <r>
    <n v="281"/>
    <x v="1"/>
    <n v="2"/>
    <n v="1"/>
    <n v="2"/>
    <n v="0"/>
    <n v="4"/>
    <m/>
    <n v="4"/>
    <n v="5"/>
    <n v="4"/>
    <n v="1"/>
  </r>
  <r>
    <n v="69"/>
    <x v="1"/>
    <n v="3"/>
    <n v="1"/>
    <n v="2.2999999999999998"/>
    <n v="1"/>
    <n v="3"/>
    <s v="F"/>
    <n v="4"/>
    <n v="3"/>
    <n v="6"/>
    <n v="1"/>
  </r>
  <r>
    <n v="35"/>
    <x v="1"/>
    <n v="2"/>
    <n v="1"/>
    <n v="2.2999999999999998"/>
    <n v="0"/>
    <n v="7"/>
    <s v="M"/>
    <n v="5"/>
    <n v="2"/>
    <n v="2"/>
    <n v="1"/>
  </r>
  <r>
    <n v="83"/>
    <x v="1"/>
    <n v="4"/>
    <n v="1"/>
    <n v="2"/>
    <n v="1"/>
    <n v="7"/>
    <s v="F"/>
    <n v="5"/>
    <n v="3"/>
    <n v="1"/>
    <n v="1"/>
  </r>
  <r>
    <n v="154"/>
    <x v="1"/>
    <n v="6"/>
    <n v="1"/>
    <n v="2"/>
    <n v="1"/>
    <n v="4"/>
    <m/>
    <n v="4"/>
    <n v="5"/>
    <n v="4"/>
    <n v="1"/>
  </r>
  <r>
    <n v="31"/>
    <x v="1"/>
    <n v="5"/>
    <n v="1"/>
    <n v="2"/>
    <n v="1"/>
    <n v="2"/>
    <s v="    F"/>
    <n v="5"/>
    <n v="5"/>
    <n v="5"/>
    <n v="1"/>
  </r>
  <r>
    <n v="71"/>
    <x v="1"/>
    <n v="10"/>
    <n v="1"/>
    <n v="2"/>
    <n v="2"/>
    <n v="3"/>
    <s v="F"/>
    <n v="4"/>
    <n v="4"/>
    <n v="7"/>
    <n v="1"/>
  </r>
  <r>
    <n v="142"/>
    <x v="1"/>
    <n v="4"/>
    <n v="1"/>
    <n v="2.2999999999999998"/>
    <n v="1"/>
    <n v="4"/>
    <m/>
    <n v="4"/>
    <n v="5"/>
    <n v="4"/>
    <n v="1"/>
  </r>
  <r>
    <n v="115"/>
    <x v="1"/>
    <n v="5"/>
    <n v="1"/>
    <n v="2"/>
    <n v="1"/>
    <n v="2"/>
    <s v="F"/>
    <n v="2"/>
    <n v="5"/>
    <n v="5"/>
    <n v="1"/>
  </r>
  <r>
    <n v="52"/>
    <x v="1"/>
    <n v="3"/>
    <n v="1"/>
    <n v="2.2999999999999998"/>
    <n v="1"/>
    <n v="7"/>
    <s v="M"/>
    <n v="4"/>
    <n v="4"/>
    <n v="6"/>
    <n v="1"/>
  </r>
  <r>
    <n v="75"/>
    <x v="1"/>
    <n v="9"/>
    <n v="1"/>
    <n v="2"/>
    <n v="2"/>
    <n v="2"/>
    <s v="F"/>
    <n v="3"/>
    <n v="6"/>
    <n v="4"/>
    <n v="1"/>
  </r>
  <r>
    <n v="256"/>
    <x v="1"/>
    <n v="10"/>
    <n v="1"/>
    <n v="2"/>
    <n v="2"/>
    <n v="4"/>
    <m/>
    <n v="4"/>
    <n v="5"/>
    <n v="4"/>
    <n v="1"/>
  </r>
  <r>
    <n v="10"/>
    <x v="1"/>
    <n v="0"/>
    <n v="1"/>
    <n v="2.2999999999999998"/>
    <n v="0"/>
    <n v="3"/>
    <s v="F"/>
    <n v="1"/>
    <n v="5"/>
    <n v="3"/>
    <n v="1"/>
  </r>
  <r>
    <n v="121"/>
    <x v="1"/>
    <n v="3"/>
    <n v="1"/>
    <n v="2"/>
    <n v="1"/>
    <n v="4"/>
    <m/>
    <n v="4"/>
    <n v="5"/>
    <n v="4"/>
    <n v="1"/>
  </r>
  <r>
    <n v="274"/>
    <x v="1"/>
    <n v="7"/>
    <n v="1"/>
    <n v="2.2999999999999998"/>
    <n v="2"/>
    <n v="4"/>
    <m/>
    <n v="4"/>
    <n v="5"/>
    <n v="4"/>
    <n v="1"/>
  </r>
  <r>
    <n v="45"/>
    <x v="1"/>
    <n v="10"/>
    <n v="1"/>
    <n v="2"/>
    <n v="2"/>
    <n v="4"/>
    <s v="F"/>
    <n v="3"/>
    <n v="4"/>
    <n v="6"/>
    <n v="1"/>
  </r>
  <r>
    <n v="160"/>
    <x v="1"/>
    <n v="2"/>
    <n v="1"/>
    <n v="2"/>
    <n v="0"/>
    <n v="4"/>
    <m/>
    <n v="4"/>
    <n v="5"/>
    <n v="4"/>
    <n v="1"/>
  </r>
  <r>
    <n v="190"/>
    <x v="1"/>
    <n v="6"/>
    <n v="1"/>
    <n v="2.2999999999999998"/>
    <n v="1"/>
    <n v="4"/>
    <m/>
    <n v="4"/>
    <n v="5"/>
    <n v="4"/>
    <n v="1"/>
  </r>
  <r>
    <n v="191"/>
    <x v="1"/>
    <n v="1"/>
    <n v="1"/>
    <n v="2.2999999999999998"/>
    <n v="0"/>
    <n v="4"/>
    <m/>
    <n v="4"/>
    <n v="5"/>
    <n v="4"/>
    <n v="1"/>
  </r>
  <r>
    <n v="64"/>
    <x v="1"/>
    <n v="2"/>
    <n v="1"/>
    <n v="2"/>
    <n v="0"/>
    <n v="6"/>
    <s v="F"/>
    <n v="5"/>
    <n v="2"/>
    <n v="1"/>
    <n v="1"/>
  </r>
  <r>
    <n v="67"/>
    <x v="1"/>
    <n v="4"/>
    <n v="1"/>
    <n v="2"/>
    <n v="1"/>
    <n v="4"/>
    <s v="F"/>
    <n v="2"/>
    <n v="7"/>
    <n v="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12432D-6D63-4A2E-9A79-EA113CE07A35}"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5:W37" firstHeaderRow="1" firstDataRow="2" firstDataCol="1"/>
  <pivotFields count="5">
    <pivotField axis="axisRow" showAll="0">
      <items count="12">
        <item x="0"/>
        <item x="1"/>
        <item x="2"/>
        <item x="3"/>
        <item x="4"/>
        <item x="5"/>
        <item x="6"/>
        <item x="7"/>
        <item x="9"/>
        <item x="10"/>
        <item h="1" x="8"/>
        <item t="default"/>
      </items>
    </pivotField>
    <pivotField axis="axisCol" showAll="0">
      <items count="13">
        <item x="8"/>
        <item x="7"/>
        <item x="9"/>
        <item x="11"/>
        <item x="0"/>
        <item x="1"/>
        <item x="5"/>
        <item x="2"/>
        <item x="10"/>
        <item x="3"/>
        <item x="4"/>
        <item x="6"/>
        <item t="default"/>
      </items>
    </pivotField>
    <pivotField dataField="1" showAll="0"/>
    <pivotField showAll="0"/>
    <pivotField showAll="0"/>
  </pivotFields>
  <rowFields count="1">
    <field x="0"/>
  </rowFields>
  <rowItems count="11">
    <i>
      <x/>
    </i>
    <i>
      <x v="1"/>
    </i>
    <i>
      <x v="2"/>
    </i>
    <i>
      <x v="3"/>
    </i>
    <i>
      <x v="4"/>
    </i>
    <i>
      <x v="5"/>
    </i>
    <i>
      <x v="6"/>
    </i>
    <i>
      <x v="7"/>
    </i>
    <i>
      <x v="8"/>
    </i>
    <i>
      <x v="9"/>
    </i>
    <i t="grand">
      <x/>
    </i>
  </rowItems>
  <colFields count="1">
    <field x="1"/>
  </colFields>
  <colItems count="13">
    <i>
      <x/>
    </i>
    <i>
      <x v="1"/>
    </i>
    <i>
      <x v="2"/>
    </i>
    <i>
      <x v="3"/>
    </i>
    <i>
      <x v="4"/>
    </i>
    <i>
      <x v="5"/>
    </i>
    <i>
      <x v="6"/>
    </i>
    <i>
      <x v="7"/>
    </i>
    <i>
      <x v="8"/>
    </i>
    <i>
      <x v="9"/>
    </i>
    <i>
      <x v="10"/>
    </i>
    <i>
      <x v="11"/>
    </i>
    <i t="grand">
      <x/>
    </i>
  </colItems>
  <dataFields count="1">
    <dataField name="Sum of Annual Revenue" fld="2" baseField="0" baseItem="0"/>
  </dataFields>
  <chartFormats count="2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2" format="24" series="1">
      <pivotArea type="data" outline="0" fieldPosition="0">
        <references count="2">
          <reference field="4294967294" count="1" selected="0">
            <x v="0"/>
          </reference>
          <reference field="1" count="1" selected="0">
            <x v="0"/>
          </reference>
        </references>
      </pivotArea>
    </chartFormat>
    <chartFormat chart="2" format="25" series="1">
      <pivotArea type="data" outline="0" fieldPosition="0">
        <references count="2">
          <reference field="4294967294" count="1" selected="0">
            <x v="0"/>
          </reference>
          <reference field="1" count="1" selected="0">
            <x v="1"/>
          </reference>
        </references>
      </pivotArea>
    </chartFormat>
    <chartFormat chart="2" format="26" series="1">
      <pivotArea type="data" outline="0" fieldPosition="0">
        <references count="2">
          <reference field="4294967294" count="1" selected="0">
            <x v="0"/>
          </reference>
          <reference field="1" count="1" selected="0">
            <x v="2"/>
          </reference>
        </references>
      </pivotArea>
    </chartFormat>
    <chartFormat chart="2" format="27" series="1">
      <pivotArea type="data" outline="0" fieldPosition="0">
        <references count="2">
          <reference field="4294967294" count="1" selected="0">
            <x v="0"/>
          </reference>
          <reference field="1" count="1" selected="0">
            <x v="3"/>
          </reference>
        </references>
      </pivotArea>
    </chartFormat>
    <chartFormat chart="2" format="28" series="1">
      <pivotArea type="data" outline="0" fieldPosition="0">
        <references count="2">
          <reference field="4294967294" count="1" selected="0">
            <x v="0"/>
          </reference>
          <reference field="1" count="1" selected="0">
            <x v="4"/>
          </reference>
        </references>
      </pivotArea>
    </chartFormat>
    <chartFormat chart="2" format="29" series="1">
      <pivotArea type="data" outline="0" fieldPosition="0">
        <references count="2">
          <reference field="4294967294" count="1" selected="0">
            <x v="0"/>
          </reference>
          <reference field="1" count="1" selected="0">
            <x v="5"/>
          </reference>
        </references>
      </pivotArea>
    </chartFormat>
    <chartFormat chart="2" format="30" series="1">
      <pivotArea type="data" outline="0" fieldPosition="0">
        <references count="2">
          <reference field="4294967294" count="1" selected="0">
            <x v="0"/>
          </reference>
          <reference field="1" count="1" selected="0">
            <x v="6"/>
          </reference>
        </references>
      </pivotArea>
    </chartFormat>
    <chartFormat chart="2" format="31" series="1">
      <pivotArea type="data" outline="0" fieldPosition="0">
        <references count="2">
          <reference field="4294967294" count="1" selected="0">
            <x v="0"/>
          </reference>
          <reference field="1" count="1" selected="0">
            <x v="7"/>
          </reference>
        </references>
      </pivotArea>
    </chartFormat>
    <chartFormat chart="2" format="32" series="1">
      <pivotArea type="data" outline="0" fieldPosition="0">
        <references count="2">
          <reference field="4294967294" count="1" selected="0">
            <x v="0"/>
          </reference>
          <reference field="1" count="1" selected="0">
            <x v="8"/>
          </reference>
        </references>
      </pivotArea>
    </chartFormat>
    <chartFormat chart="2" format="33" series="1">
      <pivotArea type="data" outline="0" fieldPosition="0">
        <references count="2">
          <reference field="4294967294" count="1" selected="0">
            <x v="0"/>
          </reference>
          <reference field="1" count="1" selected="0">
            <x v="9"/>
          </reference>
        </references>
      </pivotArea>
    </chartFormat>
    <chartFormat chart="2" format="34" series="1">
      <pivotArea type="data" outline="0" fieldPosition="0">
        <references count="2">
          <reference field="4294967294" count="1" selected="0">
            <x v="0"/>
          </reference>
          <reference field="1" count="1" selected="0">
            <x v="10"/>
          </reference>
        </references>
      </pivotArea>
    </chartFormat>
    <chartFormat chart="2" format="35"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0A0F79-22B8-41DB-8D1D-8CB8ECB26452}"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J8:M21" firstHeaderRow="0" firstDataRow="1" firstDataCol="1"/>
  <pivotFields count="5">
    <pivotField showAll="0"/>
    <pivotField axis="axisRow" showAll="0">
      <items count="13">
        <item x="8"/>
        <item x="7"/>
        <item x="9"/>
        <item x="11"/>
        <item x="0"/>
        <item x="1"/>
        <item x="5"/>
        <item x="2"/>
        <item x="10"/>
        <item x="3"/>
        <item x="4"/>
        <item x="6"/>
        <item t="default"/>
      </items>
    </pivotField>
    <pivotField dataField="1" showAll="0"/>
    <pivotField dataField="1"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Annual Revenue" fld="2" baseField="0" baseItem="0"/>
    <dataField name="Sum of Annual Profit" fld="3" baseField="0" baseItem="0"/>
    <dataField name="Average of Segment Market Share"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DDB53-B7BC-4E2F-B674-74FF8C787FF4}" name="PivotTable1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17:K130" firstHeaderRow="1" firstDataRow="1" firstDataCol="1"/>
  <pivotFields count="6">
    <pivotField showAll="0"/>
    <pivotField axis="axisRow" showAll="0">
      <items count="13">
        <item x="8"/>
        <item x="7"/>
        <item x="9"/>
        <item x="11"/>
        <item x="0"/>
        <item x="1"/>
        <item x="5"/>
        <item x="2"/>
        <item x="10"/>
        <item x="3"/>
        <item x="4"/>
        <item x="6"/>
        <item t="default"/>
      </items>
    </pivotField>
    <pivotField showAll="0"/>
    <pivotField showAll="0"/>
    <pivotField showAll="0"/>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Average of Profit Margin" fld="5" subtotal="average"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EC3806-8D59-4AC5-B655-144C0BF4C878}"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83:W95" firstHeaderRow="1" firstDataRow="2" firstDataCol="1"/>
  <pivotFields count="5">
    <pivotField axis="axisRow" showAll="0">
      <items count="12">
        <item x="0"/>
        <item x="1"/>
        <item x="2"/>
        <item x="3"/>
        <item x="4"/>
        <item x="5"/>
        <item x="6"/>
        <item x="7"/>
        <item x="9"/>
        <item x="10"/>
        <item h="1" x="8"/>
        <item t="default"/>
      </items>
    </pivotField>
    <pivotField axis="axisCol" showAll="0">
      <items count="13">
        <item x="8"/>
        <item x="7"/>
        <item x="9"/>
        <item x="11"/>
        <item x="0"/>
        <item x="1"/>
        <item x="5"/>
        <item x="2"/>
        <item x="10"/>
        <item x="3"/>
        <item x="4"/>
        <item x="6"/>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Fields count="1">
    <field x="1"/>
  </colFields>
  <colItems count="13">
    <i>
      <x/>
    </i>
    <i>
      <x v="1"/>
    </i>
    <i>
      <x v="2"/>
    </i>
    <i>
      <x v="3"/>
    </i>
    <i>
      <x v="4"/>
    </i>
    <i>
      <x v="5"/>
    </i>
    <i>
      <x v="6"/>
    </i>
    <i>
      <x v="7"/>
    </i>
    <i>
      <x v="8"/>
    </i>
    <i>
      <x v="9"/>
    </i>
    <i>
      <x v="10"/>
    </i>
    <i>
      <x v="11"/>
    </i>
    <i t="grand">
      <x/>
    </i>
  </colItems>
  <dataFields count="1">
    <dataField name="Average of Segment Market Share" fld="4" subtotal="average" baseField="0" baseItem="0"/>
  </dataFields>
  <chartFormats count="2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2" format="24" series="1">
      <pivotArea type="data" outline="0" fieldPosition="0">
        <references count="2">
          <reference field="4294967294" count="1" selected="0">
            <x v="0"/>
          </reference>
          <reference field="1" count="1" selected="0">
            <x v="0"/>
          </reference>
        </references>
      </pivotArea>
    </chartFormat>
    <chartFormat chart="2" format="25" series="1">
      <pivotArea type="data" outline="0" fieldPosition="0">
        <references count="2">
          <reference field="4294967294" count="1" selected="0">
            <x v="0"/>
          </reference>
          <reference field="1" count="1" selected="0">
            <x v="1"/>
          </reference>
        </references>
      </pivotArea>
    </chartFormat>
    <chartFormat chart="2" format="26" series="1">
      <pivotArea type="data" outline="0" fieldPosition="0">
        <references count="2">
          <reference field="4294967294" count="1" selected="0">
            <x v="0"/>
          </reference>
          <reference field="1" count="1" selected="0">
            <x v="2"/>
          </reference>
        </references>
      </pivotArea>
    </chartFormat>
    <chartFormat chart="2" format="27" series="1">
      <pivotArea type="data" outline="0" fieldPosition="0">
        <references count="2">
          <reference field="4294967294" count="1" selected="0">
            <x v="0"/>
          </reference>
          <reference field="1" count="1" selected="0">
            <x v="3"/>
          </reference>
        </references>
      </pivotArea>
    </chartFormat>
    <chartFormat chart="2" format="28" series="1">
      <pivotArea type="data" outline="0" fieldPosition="0">
        <references count="2">
          <reference field="4294967294" count="1" selected="0">
            <x v="0"/>
          </reference>
          <reference field="1" count="1" selected="0">
            <x v="4"/>
          </reference>
        </references>
      </pivotArea>
    </chartFormat>
    <chartFormat chart="2" format="29" series="1">
      <pivotArea type="data" outline="0" fieldPosition="0">
        <references count="2">
          <reference field="4294967294" count="1" selected="0">
            <x v="0"/>
          </reference>
          <reference field="1" count="1" selected="0">
            <x v="5"/>
          </reference>
        </references>
      </pivotArea>
    </chartFormat>
    <chartFormat chart="2" format="30" series="1">
      <pivotArea type="data" outline="0" fieldPosition="0">
        <references count="2">
          <reference field="4294967294" count="1" selected="0">
            <x v="0"/>
          </reference>
          <reference field="1" count="1" selected="0">
            <x v="6"/>
          </reference>
        </references>
      </pivotArea>
    </chartFormat>
    <chartFormat chart="2" format="31" series="1">
      <pivotArea type="data" outline="0" fieldPosition="0">
        <references count="2">
          <reference field="4294967294" count="1" selected="0">
            <x v="0"/>
          </reference>
          <reference field="1" count="1" selected="0">
            <x v="7"/>
          </reference>
        </references>
      </pivotArea>
    </chartFormat>
    <chartFormat chart="2" format="32" series="1">
      <pivotArea type="data" outline="0" fieldPosition="0">
        <references count="2">
          <reference field="4294967294" count="1" selected="0">
            <x v="0"/>
          </reference>
          <reference field="1" count="1" selected="0">
            <x v="8"/>
          </reference>
        </references>
      </pivotArea>
    </chartFormat>
    <chartFormat chart="2" format="33" series="1">
      <pivotArea type="data" outline="0" fieldPosition="0">
        <references count="2">
          <reference field="4294967294" count="1" selected="0">
            <x v="0"/>
          </reference>
          <reference field="1" count="1" selected="0">
            <x v="9"/>
          </reference>
        </references>
      </pivotArea>
    </chartFormat>
    <chartFormat chart="2" format="34" series="1">
      <pivotArea type="data" outline="0" fieldPosition="0">
        <references count="2">
          <reference field="4294967294" count="1" selected="0">
            <x v="0"/>
          </reference>
          <reference field="1" count="1" selected="0">
            <x v="10"/>
          </reference>
        </references>
      </pivotArea>
    </chartFormat>
    <chartFormat chart="2" format="35"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21F273-07B1-4DB8-A869-2E3587322A9E}"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59:W71" firstHeaderRow="1" firstDataRow="2" firstDataCol="1"/>
  <pivotFields count="5">
    <pivotField axis="axisRow" showAll="0">
      <items count="12">
        <item x="0"/>
        <item x="1"/>
        <item x="2"/>
        <item x="3"/>
        <item x="4"/>
        <item x="5"/>
        <item x="6"/>
        <item x="7"/>
        <item x="9"/>
        <item x="10"/>
        <item h="1" x="8"/>
        <item t="default"/>
      </items>
    </pivotField>
    <pivotField axis="axisCol" showAll="0">
      <items count="13">
        <item x="8"/>
        <item x="7"/>
        <item x="9"/>
        <item x="11"/>
        <item x="0"/>
        <item x="1"/>
        <item x="5"/>
        <item x="2"/>
        <item x="10"/>
        <item x="3"/>
        <item x="4"/>
        <item x="6"/>
        <item t="default"/>
      </items>
    </pivotField>
    <pivotField showAll="0"/>
    <pivotField dataField="1" showAll="0"/>
    <pivotField showAll="0"/>
  </pivotFields>
  <rowFields count="1">
    <field x="0"/>
  </rowFields>
  <rowItems count="11">
    <i>
      <x/>
    </i>
    <i>
      <x v="1"/>
    </i>
    <i>
      <x v="2"/>
    </i>
    <i>
      <x v="3"/>
    </i>
    <i>
      <x v="4"/>
    </i>
    <i>
      <x v="5"/>
    </i>
    <i>
      <x v="6"/>
    </i>
    <i>
      <x v="7"/>
    </i>
    <i>
      <x v="8"/>
    </i>
    <i>
      <x v="9"/>
    </i>
    <i t="grand">
      <x/>
    </i>
  </rowItems>
  <colFields count="1">
    <field x="1"/>
  </colFields>
  <colItems count="13">
    <i>
      <x/>
    </i>
    <i>
      <x v="1"/>
    </i>
    <i>
      <x v="2"/>
    </i>
    <i>
      <x v="3"/>
    </i>
    <i>
      <x v="4"/>
    </i>
    <i>
      <x v="5"/>
    </i>
    <i>
      <x v="6"/>
    </i>
    <i>
      <x v="7"/>
    </i>
    <i>
      <x v="8"/>
    </i>
    <i>
      <x v="9"/>
    </i>
    <i>
      <x v="10"/>
    </i>
    <i>
      <x v="11"/>
    </i>
    <i t="grand">
      <x/>
    </i>
  </colItems>
  <dataFields count="1">
    <dataField name="Sum of Annual Profit" fld="3" baseField="0" baseItem="0"/>
  </dataFields>
  <chartFormats count="2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2" format="24" series="1">
      <pivotArea type="data" outline="0" fieldPosition="0">
        <references count="2">
          <reference field="4294967294" count="1" selected="0">
            <x v="0"/>
          </reference>
          <reference field="1" count="1" selected="0">
            <x v="0"/>
          </reference>
        </references>
      </pivotArea>
    </chartFormat>
    <chartFormat chart="2" format="25" series="1">
      <pivotArea type="data" outline="0" fieldPosition="0">
        <references count="2">
          <reference field="4294967294" count="1" selected="0">
            <x v="0"/>
          </reference>
          <reference field="1" count="1" selected="0">
            <x v="1"/>
          </reference>
        </references>
      </pivotArea>
    </chartFormat>
    <chartFormat chart="2" format="26" series="1">
      <pivotArea type="data" outline="0" fieldPosition="0">
        <references count="2">
          <reference field="4294967294" count="1" selected="0">
            <x v="0"/>
          </reference>
          <reference field="1" count="1" selected="0">
            <x v="2"/>
          </reference>
        </references>
      </pivotArea>
    </chartFormat>
    <chartFormat chart="2" format="27" series="1">
      <pivotArea type="data" outline="0" fieldPosition="0">
        <references count="2">
          <reference field="4294967294" count="1" selected="0">
            <x v="0"/>
          </reference>
          <reference field="1" count="1" selected="0">
            <x v="3"/>
          </reference>
        </references>
      </pivotArea>
    </chartFormat>
    <chartFormat chart="2" format="28" series="1">
      <pivotArea type="data" outline="0" fieldPosition="0">
        <references count="2">
          <reference field="4294967294" count="1" selected="0">
            <x v="0"/>
          </reference>
          <reference field="1" count="1" selected="0">
            <x v="4"/>
          </reference>
        </references>
      </pivotArea>
    </chartFormat>
    <chartFormat chart="2" format="29" series="1">
      <pivotArea type="data" outline="0" fieldPosition="0">
        <references count="2">
          <reference field="4294967294" count="1" selected="0">
            <x v="0"/>
          </reference>
          <reference field="1" count="1" selected="0">
            <x v="5"/>
          </reference>
        </references>
      </pivotArea>
    </chartFormat>
    <chartFormat chart="2" format="30" series="1">
      <pivotArea type="data" outline="0" fieldPosition="0">
        <references count="2">
          <reference field="4294967294" count="1" selected="0">
            <x v="0"/>
          </reference>
          <reference field="1" count="1" selected="0">
            <x v="6"/>
          </reference>
        </references>
      </pivotArea>
    </chartFormat>
    <chartFormat chart="2" format="31" series="1">
      <pivotArea type="data" outline="0" fieldPosition="0">
        <references count="2">
          <reference field="4294967294" count="1" selected="0">
            <x v="0"/>
          </reference>
          <reference field="1" count="1" selected="0">
            <x v="7"/>
          </reference>
        </references>
      </pivotArea>
    </chartFormat>
    <chartFormat chart="2" format="32" series="1">
      <pivotArea type="data" outline="0" fieldPosition="0">
        <references count="2">
          <reference field="4294967294" count="1" selected="0">
            <x v="0"/>
          </reference>
          <reference field="1" count="1" selected="0">
            <x v="8"/>
          </reference>
        </references>
      </pivotArea>
    </chartFormat>
    <chartFormat chart="2" format="33" series="1">
      <pivotArea type="data" outline="0" fieldPosition="0">
        <references count="2">
          <reference field="4294967294" count="1" selected="0">
            <x v="0"/>
          </reference>
          <reference field="1" count="1" selected="0">
            <x v="9"/>
          </reference>
        </references>
      </pivotArea>
    </chartFormat>
    <chartFormat chart="2" format="34" series="1">
      <pivotArea type="data" outline="0" fieldPosition="0">
        <references count="2">
          <reference field="4294967294" count="1" selected="0">
            <x v="0"/>
          </reference>
          <reference field="1" count="1" selected="0">
            <x v="10"/>
          </reference>
        </references>
      </pivotArea>
    </chartFormat>
    <chartFormat chart="2" format="35"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D44DBB-33DC-4BBB-98C5-1C8F061D3E13}"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location ref="E1:H14" firstHeaderRow="0" firstDataRow="1" firstDataCol="1"/>
  <pivotFields count="5">
    <pivotField showAll="0"/>
    <pivotField axis="axisRow" showAll="0">
      <items count="13">
        <item x="8"/>
        <item x="7"/>
        <item x="9"/>
        <item x="11"/>
        <item x="0"/>
        <item x="1"/>
        <item x="5"/>
        <item x="2"/>
        <item x="10"/>
        <item x="3"/>
        <item x="4"/>
        <item x="6"/>
        <item t="default"/>
      </items>
    </pivotField>
    <pivotField dataField="1" showAll="0"/>
    <pivotField dataField="1"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Annual Revenue" fld="2" baseField="0" baseItem="0"/>
    <dataField name="Sum of Annual Profit" fld="3" baseField="0" baseItem="0"/>
    <dataField name="Average of Segment Market Share" fld="4"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75F23A-DA3B-43E0-BD64-B08962CFA0F6}" name="PivotTable1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ice">
  <location ref="A3:B7" firstHeaderRow="1" firstDataRow="1" firstDataCol="1" rowPageCount="1" colPageCount="1"/>
  <pivotFields count="13">
    <pivotField showAll="0"/>
    <pivotField showAll="0"/>
    <pivotField axis="axisPage" showAll="0">
      <items count="3">
        <item x="1"/>
        <item x="0"/>
        <item t="default"/>
      </items>
    </pivotField>
    <pivotField dataField="1" showAll="0"/>
    <pivotField showAll="0"/>
    <pivotField axis="axisRow" showAll="0">
      <items count="6">
        <item x="4"/>
        <item x="3"/>
        <item x="2"/>
        <item x="1"/>
        <item x="0"/>
        <item t="default"/>
      </items>
    </pivotField>
    <pivotField showAll="0"/>
    <pivotField showAll="0"/>
    <pivotField showAll="0"/>
    <pivotField showAll="0"/>
    <pivotField showAll="0"/>
    <pivotField showAll="0"/>
    <pivotField showAll="0"/>
  </pivotFields>
  <rowFields count="1">
    <field x="5"/>
  </rowFields>
  <rowItems count="4">
    <i>
      <x v="2"/>
    </i>
    <i>
      <x v="3"/>
    </i>
    <i>
      <x v="4"/>
    </i>
    <i t="grand">
      <x/>
    </i>
  </rowItems>
  <colItems count="1">
    <i/>
  </colItems>
  <pageFields count="1">
    <pageField fld="2" item="1" hier="-1"/>
  </pageFields>
  <dataFields count="1">
    <dataField name="Quantity Sol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4DB707-3F84-4785-9BEC-4E55B29ED1A1}" name="PivotTable1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9:O10" firstHeaderRow="1" firstDataRow="1" firstDataCol="0"/>
  <pivotFields count="13">
    <pivotField showAll="0"/>
    <pivotField showAll="0"/>
    <pivotField showAll="0">
      <items count="3">
        <item x="1"/>
        <item x="0"/>
        <item t="default"/>
      </items>
    </pivotField>
    <pivotField showAll="0"/>
    <pivotField showAll="0"/>
    <pivotField showAll="0"/>
    <pivotField dataField="1" showAll="0">
      <items count="7">
        <item x="5"/>
        <item x="0"/>
        <item x="4"/>
        <item x="1"/>
        <item x="2"/>
        <item x="3"/>
        <item t="default"/>
      </items>
    </pivotField>
    <pivotField showAll="0"/>
    <pivotField showAll="0"/>
    <pivotField showAll="0"/>
    <pivotField showAll="0"/>
    <pivotField showAll="0"/>
    <pivotField showAll="0"/>
  </pivotFields>
  <rowItems count="1">
    <i/>
  </rowItems>
  <colItems count="1">
    <i/>
  </colItems>
  <dataFields count="1">
    <dataField name="Sum of Lotion Purchas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E48BE5-DEA4-470D-A05A-00795091B15F}" name="PivotTable1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Price">
  <location ref="O3:P7" firstHeaderRow="1" firstDataRow="1" firstDataCol="1" rowPageCount="1" colPageCount="1"/>
  <pivotFields count="13">
    <pivotField showAll="0"/>
    <pivotField showAll="0"/>
    <pivotField axis="axisPage" showAll="0">
      <items count="3">
        <item x="1"/>
        <item x="0"/>
        <item t="default"/>
      </items>
    </pivotField>
    <pivotField dataField="1" showAll="0"/>
    <pivotField showAll="0"/>
    <pivotField axis="axisRow" showAll="0">
      <items count="6">
        <item x="4"/>
        <item x="3"/>
        <item x="2"/>
        <item x="1"/>
        <item x="0"/>
        <item t="default"/>
      </items>
    </pivotField>
    <pivotField showAll="0"/>
    <pivotField showAll="0"/>
    <pivotField showAll="0"/>
    <pivotField showAll="0"/>
    <pivotField showAll="0"/>
    <pivotField showAll="0"/>
    <pivotField showAll="0"/>
  </pivotFields>
  <rowFields count="1">
    <field x="5"/>
  </rowFields>
  <rowItems count="4">
    <i>
      <x v="2"/>
    </i>
    <i>
      <x v="3"/>
    </i>
    <i>
      <x v="4"/>
    </i>
    <i t="grand">
      <x/>
    </i>
  </rowItems>
  <colItems count="1">
    <i/>
  </colItems>
  <pageFields count="1">
    <pageField fld="2" item="1" hier="-1"/>
  </pageFields>
  <dataFields count="1">
    <dataField name="Sum of Soap Units Purchas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203F13-DB57-4EF9-BBAE-1347BFCB1CD9}" name="PivotTable2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2:P14" firstHeaderRow="1" firstDataRow="1" firstDataCol="1"/>
  <pivotFields count="12">
    <pivotField showAll="0"/>
    <pivotField axis="axisRow" showAll="0">
      <items count="3">
        <item h="1" x="1"/>
        <item x="0"/>
        <item t="default"/>
      </items>
    </pivotField>
    <pivotField showAll="0"/>
    <pivotField showAll="0"/>
    <pivotField showAll="0"/>
    <pivotField dataField="1" showAll="0"/>
    <pivotField showAll="0"/>
    <pivotField showAll="0"/>
    <pivotField showAll="0"/>
    <pivotField showAll="0"/>
    <pivotField showAll="0"/>
    <pivotField showAll="0"/>
  </pivotFields>
  <rowFields count="1">
    <field x="1"/>
  </rowFields>
  <rowItems count="2">
    <i>
      <x v="1"/>
    </i>
    <i t="grand">
      <x/>
    </i>
  </rowItems>
  <colItems count="1">
    <i/>
  </colItems>
  <dataFields count="1">
    <dataField name="Sum of Lotion Purchas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7497EBF-1940-43DE-8992-1B6BBA2F924E}" name="Table16" displayName="Table16" ref="J73:K77" totalsRowShown="0" headerRowDxfId="12">
  <autoFilter ref="J73:K77" xr:uid="{47497EBF-1940-43DE-8992-1B6BBA2F924E}"/>
  <tableColumns count="2">
    <tableColumn id="1" xr3:uid="{ACC351FD-8C95-4E93-B509-79A0201E654D}" name="Product Stage" dataDxfId="14"/>
    <tableColumn id="2" xr3:uid="{E6223BA8-BF5E-434F-8019-58E61FDF614E}" name="Insight"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3F63BEC-BDF4-4F4B-BD3B-F693B1B1D48F}" name="Table18" displayName="Table18" ref="J63:M70" totalsRowShown="0">
  <autoFilter ref="J63:M70" xr:uid="{83F63BEC-BDF4-4F4B-BD3B-F693B1B1D48F}"/>
  <tableColumns count="4">
    <tableColumn id="1" xr3:uid="{03A108F8-C957-494D-B7AA-79C558EC1D34}" name="Column1" dataDxfId="11"/>
    <tableColumn id="2" xr3:uid="{B85FD902-09F4-406A-8CC5-E1468A2F116D}" name="Column2" dataDxfId="10"/>
    <tableColumn id="3" xr3:uid="{B0BE54F4-E3DD-4B4C-B013-C7AC332433BC}" name="Column3"/>
    <tableColumn id="4" xr3:uid="{7B405889-1A0F-4E87-A291-7E3C87EDF965}" name="Column4"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0B45F93-01BC-42AA-AF36-E4A3797AFD76}" name="Table19" displayName="Table19" ref="O63:P70" totalsRowShown="0">
  <autoFilter ref="O63:P70" xr:uid="{40B45F93-01BC-42AA-AF36-E4A3797AFD76}"/>
  <tableColumns count="2">
    <tableColumn id="1" xr3:uid="{3FA88C6B-4DE7-42B3-A258-5A58140D01FA}" name="Column1" dataDxfId="8"/>
    <tableColumn id="2" xr3:uid="{FB38D1FD-021F-4C36-8C73-BB73CCC5AE86}" name="Column2"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1E8B696-7733-4FAD-8459-673E8ACC9A4A}" name="Table20" displayName="Table20" ref="A63:E67" totalsRowShown="0" headerRowDxfId="0" dataDxfId="1">
  <autoFilter ref="A63:E67" xr:uid="{F1E8B696-7733-4FAD-8459-673E8ACC9A4A}"/>
  <tableColumns count="5">
    <tableColumn id="1" xr3:uid="{F64C38AA-3972-4844-A57F-3F3A56B4E4A1}" name="Product" dataDxfId="6"/>
    <tableColumn id="2" xr3:uid="{B6CB6519-2084-49E5-A454-61349B73F2F6}" name="Recommended Method" dataDxfId="5"/>
    <tableColumn id="3" xr3:uid="{E23B85A9-5AE6-43B8-903B-61358D1C1A75}" name="Parameter Values" dataDxfId="4"/>
    <tableColumn id="4" xr3:uid="{75A5F2DC-5850-4C9D-A78C-03E6A340C44C}" name="SSE (Fit Quality)" dataDxfId="3"/>
    <tableColumn id="5" xr3:uid="{6157881A-0D4D-4D3C-8B11-E54C00FE88E8}" name="Model Suitability" dataDxf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123406-E352-49D5-A645-261A4C099099}" name="Table1" displayName="Table1" ref="A1:E23" totalsRowShown="0">
  <autoFilter ref="A1:E23" xr:uid="{B7123406-E352-49D5-A645-261A4C099099}"/>
  <tableColumns count="5">
    <tableColumn id="1" xr3:uid="{87A83ED4-2CC8-4D91-9FF6-499979C58694}" name="Monthly" dataDxfId="67"/>
    <tableColumn id="2" xr3:uid="{F01EF51C-D558-4608-A961-5516DC1A8CB8}" name="Cookies"/>
    <tableColumn id="3" xr3:uid="{3C14FFAF-72CA-4413-92F4-AD8925EC05EA}" name="Forecast(Cookies)" dataDxfId="66">
      <calculatedColumnFormula>_xlfn.FORECAST.ETS(A2,$B$2:$B$18,$A$2:$A$18,1,1)</calculatedColumnFormula>
    </tableColumn>
    <tableColumn id="4" xr3:uid="{1CB48F96-625D-438E-BCBC-0E0E41723C98}" name="Lower Confidence Bound(Cookies)" dataDxfId="65">
      <calculatedColumnFormula>C2-_xlfn.FORECAST.ETS.CONFINT(A2,$B$2:$B$18,$A$2:$A$18,0.95,1,1)</calculatedColumnFormula>
    </tableColumn>
    <tableColumn id="5" xr3:uid="{499AFCDC-2D35-4F82-85D8-384D475776A5}" name="Upper Confidence Bound(Cookies)" dataDxfId="64">
      <calculatedColumnFormula>C2+_xlfn.FORECAST.ETS.CONFINT(A2,$B$2:$B$18,$A$2:$A$18,0.95,1,1)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FB4007-4225-4DA0-AEF5-4C229FEA30C9}" name="Table2" displayName="Table2" ref="G1:H8" totalsRowShown="0">
  <autoFilter ref="G1:H8" xr:uid="{1FFB4007-4225-4DA0-AEF5-4C229FEA30C9}"/>
  <tableColumns count="2">
    <tableColumn id="1" xr3:uid="{6626690B-5985-4919-B984-9ACD7CD619A8}" name="Statistic"/>
    <tableColumn id="2" xr3:uid="{0E237427-892F-4B9F-853F-6E92CC1DC420}" name="Value" dataDxfId="6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7EA8E5-8F4A-4C5C-9876-869AC1EB50A9}" name="Table3" displayName="Table3" ref="A1:E26" totalsRowShown="0">
  <autoFilter ref="A1:E26" xr:uid="{277EA8E5-8F4A-4C5C-9876-869AC1EB50A9}"/>
  <tableColumns count="5">
    <tableColumn id="1" xr3:uid="{F574B2AF-9F96-4689-91B4-90C68F2CDBC6}" name="Monthly" dataDxfId="62"/>
    <tableColumn id="2" xr3:uid="{93CD4511-BE5B-44A7-83BF-D2ED4EDAE85A}" name="Soda"/>
    <tableColumn id="3" xr3:uid="{515A9B9D-246D-48E1-8DBA-A06649170AE6}" name="Forecast(Soda)">
      <calculatedColumnFormula>_xlfn.FORECAST.ETS(A2,$B$2:$B$18,$A$2:$A$18,1,1)</calculatedColumnFormula>
    </tableColumn>
    <tableColumn id="4" xr3:uid="{388BB4B4-B45A-4E07-B26B-FD09968A0A4B}" name="Lower Confidence Bound(Soda)" dataDxfId="61">
      <calculatedColumnFormula>C2-_xlfn.FORECAST.ETS.CONFINT(A2,$B$2:$B$18,$A$2:$A$18,0.95,1,1)</calculatedColumnFormula>
    </tableColumn>
    <tableColumn id="5" xr3:uid="{597D340A-7F28-44D0-9DCC-8959D239A16C}" name="Upper Confidence Bound(Soda)" dataDxfId="60">
      <calculatedColumnFormula>C2+_xlfn.FORECAST.ETS.CONFINT(A2,$B$2:$B$18,$A$2:$A$18,0.95,1,1)</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F91698-14BA-4221-8937-B45048137B09}" name="Table4" displayName="Table4" ref="G1:H8" totalsRowShown="0">
  <autoFilter ref="G1:H8" xr:uid="{ACF91698-14BA-4221-8937-B45048137B09}"/>
  <tableColumns count="2">
    <tableColumn id="1" xr3:uid="{460E840A-4A59-46E9-AAED-64CBE1D6B6E9}" name="Statistic"/>
    <tableColumn id="2" xr3:uid="{12E84CD1-9D67-451F-9805-0C8737221641}" name="Value" dataDxfId="5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6CB9DD-A035-4588-AC14-647A05BEF96A}" name="Table5" displayName="Table5" ref="A1:E23" totalsRowShown="0">
  <autoFilter ref="A1:E23" xr:uid="{D26CB9DD-A035-4588-AC14-647A05BEF96A}"/>
  <tableColumns count="5">
    <tableColumn id="1" xr3:uid="{47A73C6D-13D9-42D3-8E30-75EEC597B588}" name="Monthly" dataDxfId="58"/>
    <tableColumn id="2" xr3:uid="{2E0605AF-EF03-4555-9A55-36ECD90B732E}" name="Coffee"/>
    <tableColumn id="3" xr3:uid="{241CB2E4-89D5-4D2C-8D19-3199F2132283}" name="Forecast(Coffee)">
      <calculatedColumnFormula>_xlfn.FORECAST.ETS(A2,$B$2:$B$18,$A$2:$A$18,1,1)</calculatedColumnFormula>
    </tableColumn>
    <tableColumn id="4" xr3:uid="{C52A2653-085B-4FBC-8057-CCFC0A1C7198}" name="Lower Confidence Bound(Coffee)" dataDxfId="57">
      <calculatedColumnFormula>C2-_xlfn.FORECAST.ETS.CONFINT(A2,$B$2:$B$18,$A$2:$A$18,0.95,1,1)</calculatedColumnFormula>
    </tableColumn>
    <tableColumn id="5" xr3:uid="{5CE43CD7-739D-4F42-9172-03012445FF36}" name="Upper Confidence Bound(Coffee)" dataDxfId="56">
      <calculatedColumnFormula>C2+_xlfn.FORECAST.ETS.CONFINT(A2,$B$2:$B$18,$A$2:$A$18,0.95,1,1)</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5E87F8-F381-4288-87FD-FDDCD57D665D}" name="Table6" displayName="Table6" ref="G1:H8" totalsRowShown="0">
  <autoFilter ref="G1:H8" xr:uid="{E45E87F8-F381-4288-87FD-FDDCD57D665D}"/>
  <tableColumns count="2">
    <tableColumn id="1" xr3:uid="{ED9B16E1-C976-4D78-8197-5AC18F3F393C}" name="Statistic"/>
    <tableColumn id="2" xr3:uid="{F961A46F-A40C-4120-A62C-EB96C376F594}" name="Value" dataDxfId="5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17C8D85-5F3C-402F-8F3A-0CB070D8672E}" name="Table7" displayName="Table7" ref="A1:E23" totalsRowShown="0">
  <autoFilter ref="A1:E23" xr:uid="{D17C8D85-5F3C-402F-8F3A-0CB070D8672E}"/>
  <tableColumns count="5">
    <tableColumn id="1" xr3:uid="{F852750D-BB92-4576-8ED9-C493A0CB0C9B}" name="Monthly" dataDxfId="54"/>
    <tableColumn id="2" xr3:uid="{2F80840E-9A5A-4AE7-96D3-C1985F23B5B9}" name="Specialty Coffee"/>
    <tableColumn id="3" xr3:uid="{3C033858-5811-4909-9EB8-551C4A3BF0A1}" name="Forecast(Specialty Coffee)">
      <calculatedColumnFormula>_xlfn.FORECAST.ETS(A2,$B$2:$B$18,$A$2:$A$18,1,1)</calculatedColumnFormula>
    </tableColumn>
    <tableColumn id="4" xr3:uid="{065B1BC8-35BF-4589-8D4A-B693141082B8}" name="Lower Confidence Bound(Specialty Coffee)" dataDxfId="53">
      <calculatedColumnFormula>C2-_xlfn.FORECAST.ETS.CONFINT(A2,$B$2:$B$18,$A$2:$A$18,0.95,1,1)</calculatedColumnFormula>
    </tableColumn>
    <tableColumn id="5" xr3:uid="{4621AD40-B923-4BF9-A381-4ED4052C69D7}" name="Upper Confidence Bound(Specialty Coffee)" dataDxfId="52">
      <calculatedColumnFormula>C2+_xlfn.FORECAST.ETS.CONFINT(A2,$B$2:$B$18,$A$2:$A$18,0.95,1,1)</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674D28F-B2B5-4513-B616-245845631CE9}" name="Table8" displayName="Table8" ref="G1:H8" totalsRowShown="0">
  <autoFilter ref="G1:H8" xr:uid="{7674D28F-B2B5-4513-B616-245845631CE9}"/>
  <tableColumns count="2">
    <tableColumn id="1" xr3:uid="{BB7B20C0-AFF5-4A38-BD7C-234E04A6F24D}" name="Statistic"/>
    <tableColumn id="2" xr3:uid="{22959A7F-E8FA-4FC6-A8CA-8E671AFD41F7}" name="Value" dataDxfId="5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D4B0A8D-9EB2-4D13-91B7-12CF6981D30B}" name="Table14" displayName="Table14" ref="A3:F54" totalsRowShown="0">
  <autoFilter ref="A3:F54" xr:uid="{6D4B0A8D-9EB2-4D13-91B7-12CF6981D30B}"/>
  <tableColumns count="6">
    <tableColumn id="1" xr3:uid="{B34BB352-3B64-495F-991A-CEDB7CA2A2FB}" name="Year"/>
    <tableColumn id="2" xr3:uid="{DB54D75D-EB26-44A9-A6BD-A63D36F90776}" name="Product"/>
    <tableColumn id="3" xr3:uid="{B72CD56B-DE32-4A40-94F2-395699B03724}" name="Annual Revenue"/>
    <tableColumn id="4" xr3:uid="{A4A4AC8D-72E9-4654-A0E6-00AFF997E09A}" name="Annual Profit"/>
    <tableColumn id="5" xr3:uid="{782A45C9-4111-4407-ADB4-4AC969E38164}" name="Segment Market Share"/>
    <tableColumn id="6" xr3:uid="{5D1E7938-C797-4E2D-9ABC-360A44C55A15}" name="Profit Margi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F421D8-611D-4C47-8BDB-4C1925377169}" name="Table15" displayName="Table15" ref="A3:F54" totalsRowShown="0">
  <autoFilter ref="A3:F54" xr:uid="{B1F421D8-611D-4C47-8BDB-4C1925377169}"/>
  <tableColumns count="6">
    <tableColumn id="1" xr3:uid="{7AECFD3B-6E18-40E4-A0BE-5206C1FEC8BE}" name="Year"/>
    <tableColumn id="2" xr3:uid="{04E8D09E-3352-4609-B59C-1B777CCD76D5}" name="Product"/>
    <tableColumn id="3" xr3:uid="{9BAD01A3-5FF5-4574-8442-07D4FA5758D3}" name="Annual Revenue"/>
    <tableColumn id="4" xr3:uid="{27D7B884-5DC4-44C9-904B-E5E2F60439AD}" name="Annual Profit"/>
    <tableColumn id="5" xr3:uid="{4618F6BB-EA5C-4D71-BD66-A98EBDD30FDE}" name="Segment Market Share"/>
    <tableColumn id="6" xr3:uid="{B1E9A4D7-4076-456E-AF8E-8C09E8C4455D}" name="Profit Margi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270825A-A38C-4C0F-8420-3CC0B8F661E8}" name="Table9" displayName="Table9" ref="A8:E59" totalsRowShown="0" headerRowDxfId="50" headerRowCellStyle="Normal 2 2">
  <autoFilter ref="A8:E59" xr:uid="{F270825A-A38C-4C0F-8420-3CC0B8F661E8}"/>
  <tableColumns count="5">
    <tableColumn id="1" xr3:uid="{0023EE01-513F-4C39-9509-A0366685D5D2}" name="Year" dataDxfId="49" dataCellStyle="Normal 2 2"/>
    <tableColumn id="2" xr3:uid="{A4DB759A-8EC2-4686-AA80-D300F4B00EC3}" name="Product" dataDxfId="48" dataCellStyle="Normal 2 2"/>
    <tableColumn id="3" xr3:uid="{4702E59C-EE10-473C-A02B-9AE5BC15452C}" name="Annual Revenue" dataDxfId="47" dataCellStyle="Normal 2 2"/>
    <tableColumn id="4" xr3:uid="{6379ABAA-DE4B-4972-A1B0-6FD26B89093A}" name="Annual Profit" dataDxfId="46" dataCellStyle="Normal 2 2"/>
    <tableColumn id="5" xr3:uid="{7DF778BD-F629-4A74-85BB-AD3BD5884B86}" name="Segment Market Share" dataDxfId="45" dataCellStyle="Percent"/>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22FB517-0AFA-43A0-B6B1-1357FF5CC5F2}" name="Table10" displayName="Table10" ref="A2:F120" totalsRowShown="0" headerRowDxfId="44">
  <autoFilter ref="A2:F120" xr:uid="{422FB517-0AFA-43A0-B6B1-1357FF5CC5F2}"/>
  <tableColumns count="6">
    <tableColumn id="1" xr3:uid="{AD19CB9E-2D40-4178-BFCB-CEC5F0BE592A}" name="Purchase Date-Purchase No-Cust ID" dataDxfId="43"/>
    <tableColumn id="2" xr3:uid="{FB71D811-F258-4FB8-97EB-382EAF8A337D}" name="Soap Purchased"/>
    <tableColumn id="3" xr3:uid="{A31D9949-4FBE-47E5-8E0E-DD736CDA4271}" name="Soap Units Purchased" dataDxfId="42"/>
    <tableColumn id="4" xr3:uid="{4F6A770E-5633-40BC-954C-B90581E2369E}" name="Unit Cost" dataDxfId="41" dataCellStyle="Currency"/>
    <tableColumn id="5" xr3:uid="{E4A530DD-8111-4B9A-BABB-C4E2853F8DBC}" name="Sales Price" dataDxfId="40" dataCellStyle="Currency"/>
    <tableColumn id="6" xr3:uid="{AD9391BE-F1A4-4072-942D-24BBF918527F}" name="Lotion Purchased" dataDxfId="3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5FF3E6F-9FEF-4818-8783-254C1686177A}" name="Table11" displayName="Table11" ref="A2:G122" totalsRowShown="0" headerRowDxfId="38" dataDxfId="37" tableBorderDxfId="36">
  <autoFilter ref="A2:G122" xr:uid="{D5FF3E6F-9FEF-4818-8783-254C1686177A}"/>
  <tableColumns count="7">
    <tableColumn id="1" xr3:uid="{351A301A-9A1F-4EE9-BB00-2631090D34B3}" name="Customer ID" dataDxfId="35"/>
    <tableColumn id="2" xr3:uid="{68C7ED9E-9457-4E8B-8FE7-3626E30DC505}" name="Age" dataDxfId="34"/>
    <tableColumn id="3" xr3:uid="{8BC95EB6-87C3-4C09-A2A7-3DF5B2F852D9}" name="Gender" dataDxfId="33"/>
    <tableColumn id="4" xr3:uid="{F79A9BB0-70CB-4310-AA1F-76AA2EF0F284}" name="Income" dataDxfId="32"/>
    <tableColumn id="5" xr3:uid="{20BF871C-6580-4FBB-9547-6C0A877420F4}" name="Soap Ingredience" dataDxfId="31"/>
    <tableColumn id="6" xr3:uid="{AFF85546-D232-436C-90EB-4E4821C68035}" name="Soap Fragrance" dataDxfId="30"/>
    <tableColumn id="7" xr3:uid="{03DF8C80-C7CD-4FD2-A7DE-DCA8BAC8D0F2}" name="Color Options" dataDxfId="29"/>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AF551E9-DC60-4716-8166-F2C36EFC3E3E}" name="Table12" displayName="Table12" ref="A28:G31" totalsRowShown="0" headerRowDxfId="28" dataDxfId="27">
  <autoFilter ref="A28:G31" xr:uid="{2AF551E9-DC60-4716-8166-F2C36EFC3E3E}"/>
  <tableColumns count="7">
    <tableColumn id="1" xr3:uid="{892AE367-C965-42D6-A3C6-1C2EB5A2F965}" name="Soap #" dataDxfId="26"/>
    <tableColumn id="2" xr3:uid="{2ED50963-7687-4DD6-98A2-2F39027848C6}" name="Fragrance" dataDxfId="25"/>
    <tableColumn id="3" xr3:uid="{2E1D5194-9193-49DF-897E-ECBEDF2588BC}" name="Ingredient" dataDxfId="24"/>
    <tableColumn id="4" xr3:uid="{768914C1-BC01-4620-8712-8E481356FA40}" name="Price" dataDxfId="23"/>
    <tableColumn id="5" xr3:uid="{6EEB17A5-AF9B-4945-8AE9-05707E4D7EA7}" name="Guarantee" dataDxfId="22"/>
    <tableColumn id="6" xr3:uid="{61D9A437-4ACC-4818-9D9D-742EE7649BB0}" name="Color" dataDxfId="21"/>
    <tableColumn id="7" xr3:uid="{4E330AA5-3D49-465B-96A6-FD98CCD7C9D2}" name="Justification" dataDxfId="20"/>
  </tableColumns>
  <tableStyleInfo name="TableStyleMedium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41BB2B9-581F-4ABF-B8BE-8BFD6619D708}" name="Table13" displayName="Table13" ref="A38:C43" totalsRowShown="0" headerRowDxfId="19" dataDxfId="18">
  <autoFilter ref="A38:C43" xr:uid="{B41BB2B9-581F-4ABF-B8BE-8BFD6619D708}"/>
  <tableColumns count="3">
    <tableColumn id="1" xr3:uid="{70FE46F1-16FE-48B1-BFE3-31B1DB0F4A00}" name="Attribute" dataDxfId="17"/>
    <tableColumn id="2" xr3:uid="{D063F0E7-9C74-4F80-ADD1-C60FA6E3F60E}" name="Levels" dataDxfId="16"/>
    <tableColumn id="3" xr3:uid="{E4E30403-C5B2-426E-8E82-DF5358D79D10}" name="Frequency" dataDxfId="1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5.xml"/><Relationship Id="rId3" Type="http://schemas.openxmlformats.org/officeDocument/2006/relationships/pivotTable" Target="../pivotTables/pivotTable3.xml"/><Relationship Id="rId7" Type="http://schemas.openxmlformats.org/officeDocument/2006/relationships/drawing" Target="../drawings/drawing6.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67B47-0E4D-4BD2-A519-F848877C1D79}">
  <dimension ref="A1:R45"/>
  <sheetViews>
    <sheetView tabSelected="1" workbookViewId="0">
      <selection sqref="A1:R24"/>
    </sheetView>
  </sheetViews>
  <sheetFormatPr defaultRowHeight="14.4" x14ac:dyDescent="0.55000000000000004"/>
  <cols>
    <col min="7" max="7" width="14.3671875" customWidth="1"/>
  </cols>
  <sheetData>
    <row r="1" spans="1:18" x14ac:dyDescent="0.55000000000000004">
      <c r="A1" s="13" t="s">
        <v>375</v>
      </c>
    </row>
    <row r="3" spans="1:18" ht="14.4" customHeight="1" x14ac:dyDescent="0.55000000000000004">
      <c r="A3" s="57" t="s">
        <v>445</v>
      </c>
      <c r="B3" s="57"/>
      <c r="C3" s="57"/>
      <c r="D3" s="57"/>
      <c r="E3" s="57"/>
      <c r="F3" s="57"/>
      <c r="G3" s="57"/>
      <c r="H3" s="57"/>
      <c r="I3" s="57"/>
      <c r="J3" s="57"/>
      <c r="K3" s="57"/>
      <c r="L3" s="57"/>
      <c r="M3" s="57"/>
      <c r="N3" s="57"/>
      <c r="O3" s="57"/>
      <c r="P3" s="57"/>
      <c r="Q3" s="57"/>
      <c r="R3" s="57"/>
    </row>
    <row r="4" spans="1:18" x14ac:dyDescent="0.55000000000000004">
      <c r="A4" s="57"/>
      <c r="B4" s="57"/>
      <c r="C4" s="57"/>
      <c r="D4" s="57"/>
      <c r="E4" s="57"/>
      <c r="F4" s="57"/>
      <c r="G4" s="57"/>
      <c r="H4" s="57"/>
      <c r="I4" s="57"/>
      <c r="J4" s="57"/>
      <c r="K4" s="57"/>
      <c r="L4" s="57"/>
      <c r="M4" s="57"/>
      <c r="N4" s="57"/>
      <c r="O4" s="57"/>
      <c r="P4" s="57"/>
      <c r="Q4" s="57"/>
      <c r="R4" s="57"/>
    </row>
    <row r="5" spans="1:18" x14ac:dyDescent="0.55000000000000004">
      <c r="A5" s="57"/>
      <c r="B5" s="57"/>
      <c r="C5" s="57"/>
      <c r="D5" s="57"/>
      <c r="E5" s="57"/>
      <c r="F5" s="57"/>
      <c r="G5" s="57"/>
      <c r="H5" s="57"/>
      <c r="I5" s="57"/>
      <c r="J5" s="57"/>
      <c r="K5" s="57"/>
      <c r="L5" s="57"/>
      <c r="M5" s="57"/>
      <c r="N5" s="57"/>
      <c r="O5" s="57"/>
      <c r="P5" s="57"/>
      <c r="Q5" s="57"/>
      <c r="R5" s="57"/>
    </row>
    <row r="6" spans="1:18" x14ac:dyDescent="0.55000000000000004">
      <c r="A6" s="57"/>
      <c r="B6" s="57"/>
      <c r="C6" s="57"/>
      <c r="D6" s="57"/>
      <c r="E6" s="57"/>
      <c r="F6" s="57"/>
      <c r="G6" s="57"/>
      <c r="H6" s="57"/>
      <c r="I6" s="57"/>
      <c r="J6" s="57"/>
      <c r="K6" s="57"/>
      <c r="L6" s="57"/>
      <c r="M6" s="57"/>
      <c r="N6" s="57"/>
      <c r="O6" s="57"/>
      <c r="P6" s="57"/>
      <c r="Q6" s="57"/>
      <c r="R6" s="57"/>
    </row>
    <row r="7" spans="1:18" x14ac:dyDescent="0.55000000000000004">
      <c r="A7" s="57"/>
      <c r="B7" s="57"/>
      <c r="C7" s="57"/>
      <c r="D7" s="57"/>
      <c r="E7" s="57"/>
      <c r="F7" s="57"/>
      <c r="G7" s="57"/>
      <c r="H7" s="57"/>
      <c r="I7" s="57"/>
      <c r="J7" s="57"/>
      <c r="K7" s="57"/>
      <c r="L7" s="57"/>
      <c r="M7" s="57"/>
      <c r="N7" s="57"/>
      <c r="O7" s="57"/>
      <c r="P7" s="57"/>
      <c r="Q7" s="57"/>
      <c r="R7" s="57"/>
    </row>
    <row r="8" spans="1:18" x14ac:dyDescent="0.55000000000000004">
      <c r="A8" s="57"/>
      <c r="B8" s="57"/>
      <c r="C8" s="57"/>
      <c r="D8" s="57"/>
      <c r="E8" s="57"/>
      <c r="F8" s="57"/>
      <c r="G8" s="57"/>
      <c r="H8" s="57"/>
      <c r="I8" s="57"/>
      <c r="J8" s="57"/>
      <c r="K8" s="57"/>
      <c r="L8" s="57"/>
      <c r="M8" s="57"/>
      <c r="N8" s="57"/>
      <c r="O8" s="57"/>
      <c r="P8" s="57"/>
      <c r="Q8" s="57"/>
      <c r="R8" s="57"/>
    </row>
    <row r="9" spans="1:18" x14ac:dyDescent="0.55000000000000004">
      <c r="A9" s="57"/>
      <c r="B9" s="57"/>
      <c r="C9" s="57"/>
      <c r="D9" s="57"/>
      <c r="E9" s="57"/>
      <c r="F9" s="57"/>
      <c r="G9" s="57"/>
      <c r="H9" s="57"/>
      <c r="I9" s="57"/>
      <c r="J9" s="57"/>
      <c r="K9" s="57"/>
      <c r="L9" s="57"/>
      <c r="M9" s="57"/>
      <c r="N9" s="57"/>
      <c r="O9" s="57"/>
      <c r="P9" s="57"/>
      <c r="Q9" s="57"/>
      <c r="R9" s="57"/>
    </row>
    <row r="10" spans="1:18" x14ac:dyDescent="0.55000000000000004">
      <c r="A10" s="57"/>
      <c r="B10" s="57"/>
      <c r="C10" s="57"/>
      <c r="D10" s="57"/>
      <c r="E10" s="57"/>
      <c r="F10" s="57"/>
      <c r="G10" s="57"/>
      <c r="H10" s="57"/>
      <c r="I10" s="57"/>
      <c r="J10" s="57"/>
      <c r="K10" s="57"/>
      <c r="L10" s="57"/>
      <c r="M10" s="57"/>
      <c r="N10" s="57"/>
      <c r="O10" s="57"/>
      <c r="P10" s="57"/>
      <c r="Q10" s="57"/>
      <c r="R10" s="57"/>
    </row>
    <row r="11" spans="1:18" x14ac:dyDescent="0.55000000000000004">
      <c r="A11" s="57"/>
      <c r="B11" s="57"/>
      <c r="C11" s="57"/>
      <c r="D11" s="57"/>
      <c r="E11" s="57"/>
      <c r="F11" s="57"/>
      <c r="G11" s="57"/>
      <c r="H11" s="57"/>
      <c r="I11" s="57"/>
      <c r="J11" s="57"/>
      <c r="K11" s="57"/>
      <c r="L11" s="57"/>
      <c r="M11" s="57"/>
      <c r="N11" s="57"/>
      <c r="O11" s="57"/>
      <c r="P11" s="57"/>
      <c r="Q11" s="57"/>
      <c r="R11" s="57"/>
    </row>
    <row r="12" spans="1:18" x14ac:dyDescent="0.55000000000000004">
      <c r="A12" s="57"/>
      <c r="B12" s="57"/>
      <c r="C12" s="57"/>
      <c r="D12" s="57"/>
      <c r="E12" s="57"/>
      <c r="F12" s="57"/>
      <c r="G12" s="57"/>
      <c r="H12" s="57"/>
      <c r="I12" s="57"/>
      <c r="J12" s="57"/>
      <c r="K12" s="57"/>
      <c r="L12" s="57"/>
      <c r="M12" s="57"/>
      <c r="N12" s="57"/>
      <c r="O12" s="57"/>
      <c r="P12" s="57"/>
      <c r="Q12" s="57"/>
      <c r="R12" s="57"/>
    </row>
    <row r="13" spans="1:18" x14ac:dyDescent="0.55000000000000004">
      <c r="A13" s="57"/>
      <c r="B13" s="57"/>
      <c r="C13" s="57"/>
      <c r="D13" s="57"/>
      <c r="E13" s="57"/>
      <c r="F13" s="57"/>
      <c r="G13" s="57"/>
      <c r="H13" s="57"/>
      <c r="I13" s="57"/>
      <c r="J13" s="57"/>
      <c r="K13" s="57"/>
      <c r="L13" s="57"/>
      <c r="M13" s="57"/>
      <c r="N13" s="57"/>
      <c r="O13" s="57"/>
      <c r="P13" s="57"/>
      <c r="Q13" s="57"/>
      <c r="R13" s="57"/>
    </row>
    <row r="14" spans="1:18" x14ac:dyDescent="0.55000000000000004">
      <c r="A14" s="57"/>
      <c r="B14" s="57"/>
      <c r="C14" s="57"/>
      <c r="D14" s="57"/>
      <c r="E14" s="57"/>
      <c r="F14" s="57"/>
      <c r="G14" s="57"/>
      <c r="H14" s="57"/>
      <c r="I14" s="57"/>
      <c r="J14" s="57"/>
      <c r="K14" s="57"/>
      <c r="L14" s="57"/>
      <c r="M14" s="57"/>
      <c r="N14" s="57"/>
      <c r="O14" s="57"/>
      <c r="P14" s="57"/>
      <c r="Q14" s="57"/>
      <c r="R14" s="57"/>
    </row>
    <row r="15" spans="1:18" x14ac:dyDescent="0.55000000000000004">
      <c r="A15" s="57"/>
      <c r="B15" s="57"/>
      <c r="C15" s="57"/>
      <c r="D15" s="57"/>
      <c r="E15" s="57"/>
      <c r="F15" s="57"/>
      <c r="G15" s="57"/>
      <c r="H15" s="57"/>
      <c r="I15" s="57"/>
      <c r="J15" s="57"/>
      <c r="K15" s="57"/>
      <c r="L15" s="57"/>
      <c r="M15" s="57"/>
      <c r="N15" s="57"/>
      <c r="O15" s="57"/>
      <c r="P15" s="57"/>
      <c r="Q15" s="57"/>
      <c r="R15" s="57"/>
    </row>
    <row r="16" spans="1:18" x14ac:dyDescent="0.55000000000000004">
      <c r="A16" s="57"/>
      <c r="B16" s="57"/>
      <c r="C16" s="57"/>
      <c r="D16" s="57"/>
      <c r="E16" s="57"/>
      <c r="F16" s="57"/>
      <c r="G16" s="57"/>
      <c r="H16" s="57"/>
      <c r="I16" s="57"/>
      <c r="J16" s="57"/>
      <c r="K16" s="57"/>
      <c r="L16" s="57"/>
      <c r="M16" s="57"/>
      <c r="N16" s="57"/>
      <c r="O16" s="57"/>
      <c r="P16" s="57"/>
      <c r="Q16" s="57"/>
      <c r="R16" s="57"/>
    </row>
    <row r="17" spans="1:18" x14ac:dyDescent="0.55000000000000004">
      <c r="A17" s="57"/>
      <c r="B17" s="57"/>
      <c r="C17" s="57"/>
      <c r="D17" s="57"/>
      <c r="E17" s="57"/>
      <c r="F17" s="57"/>
      <c r="G17" s="57"/>
      <c r="H17" s="57"/>
      <c r="I17" s="57"/>
      <c r="J17" s="57"/>
      <c r="K17" s="57"/>
      <c r="L17" s="57"/>
      <c r="M17" s="57"/>
      <c r="N17" s="57"/>
      <c r="O17" s="57"/>
      <c r="P17" s="57"/>
      <c r="Q17" s="57"/>
      <c r="R17" s="57"/>
    </row>
    <row r="18" spans="1:18" x14ac:dyDescent="0.55000000000000004">
      <c r="A18" s="57"/>
      <c r="B18" s="57"/>
      <c r="C18" s="57"/>
      <c r="D18" s="57"/>
      <c r="E18" s="57"/>
      <c r="F18" s="57"/>
      <c r="G18" s="57"/>
      <c r="H18" s="57"/>
      <c r="I18" s="57"/>
      <c r="J18" s="57"/>
      <c r="K18" s="57"/>
      <c r="L18" s="57"/>
      <c r="M18" s="57"/>
      <c r="N18" s="57"/>
      <c r="O18" s="57"/>
      <c r="P18" s="57"/>
      <c r="Q18" s="57"/>
      <c r="R18" s="57"/>
    </row>
    <row r="19" spans="1:18" x14ac:dyDescent="0.55000000000000004">
      <c r="A19" s="57"/>
      <c r="B19" s="57"/>
      <c r="C19" s="57"/>
      <c r="D19" s="57"/>
      <c r="E19" s="57"/>
      <c r="F19" s="57"/>
      <c r="G19" s="57"/>
      <c r="H19" s="57"/>
      <c r="I19" s="57"/>
      <c r="J19" s="57"/>
      <c r="K19" s="57"/>
      <c r="L19" s="57"/>
      <c r="M19" s="57"/>
      <c r="N19" s="57"/>
      <c r="O19" s="57"/>
      <c r="P19" s="57"/>
      <c r="Q19" s="57"/>
      <c r="R19" s="57"/>
    </row>
    <row r="20" spans="1:18" x14ac:dyDescent="0.55000000000000004">
      <c r="A20" s="57"/>
      <c r="B20" s="57"/>
      <c r="C20" s="57"/>
      <c r="D20" s="57"/>
      <c r="E20" s="57"/>
      <c r="F20" s="57"/>
      <c r="G20" s="57"/>
      <c r="H20" s="57"/>
      <c r="I20" s="57"/>
      <c r="J20" s="57"/>
      <c r="K20" s="57"/>
      <c r="L20" s="57"/>
      <c r="M20" s="57"/>
      <c r="N20" s="57"/>
      <c r="O20" s="57"/>
      <c r="P20" s="57"/>
      <c r="Q20" s="57"/>
      <c r="R20" s="57"/>
    </row>
    <row r="21" spans="1:18" x14ac:dyDescent="0.55000000000000004">
      <c r="A21" s="57"/>
      <c r="B21" s="57"/>
      <c r="C21" s="57"/>
      <c r="D21" s="57"/>
      <c r="E21" s="57"/>
      <c r="F21" s="57"/>
      <c r="G21" s="57"/>
      <c r="H21" s="57"/>
      <c r="I21" s="57"/>
      <c r="J21" s="57"/>
      <c r="K21" s="57"/>
      <c r="L21" s="57"/>
      <c r="M21" s="57"/>
      <c r="N21" s="57"/>
      <c r="O21" s="57"/>
      <c r="P21" s="57"/>
      <c r="Q21" s="57"/>
      <c r="R21" s="57"/>
    </row>
    <row r="22" spans="1:18" x14ac:dyDescent="0.55000000000000004">
      <c r="A22" s="57"/>
      <c r="B22" s="57"/>
      <c r="C22" s="57"/>
      <c r="D22" s="57"/>
      <c r="E22" s="57"/>
      <c r="F22" s="57"/>
      <c r="G22" s="57"/>
      <c r="H22" s="57"/>
      <c r="I22" s="57"/>
      <c r="J22" s="57"/>
      <c r="K22" s="57"/>
      <c r="L22" s="57"/>
      <c r="M22" s="57"/>
      <c r="N22" s="57"/>
      <c r="O22" s="57"/>
      <c r="P22" s="57"/>
      <c r="Q22" s="57"/>
      <c r="R22" s="57"/>
    </row>
    <row r="23" spans="1:18" x14ac:dyDescent="0.55000000000000004">
      <c r="A23" s="57"/>
      <c r="B23" s="57"/>
      <c r="C23" s="57"/>
      <c r="D23" s="57"/>
      <c r="E23" s="57"/>
      <c r="F23" s="57"/>
      <c r="G23" s="57"/>
      <c r="H23" s="57"/>
      <c r="I23" s="57"/>
      <c r="J23" s="57"/>
      <c r="K23" s="57"/>
      <c r="L23" s="57"/>
      <c r="M23" s="57"/>
      <c r="N23" s="57"/>
      <c r="O23" s="57"/>
      <c r="P23" s="57"/>
      <c r="Q23" s="57"/>
      <c r="R23" s="57"/>
    </row>
    <row r="24" spans="1:18" x14ac:dyDescent="0.55000000000000004">
      <c r="A24" s="57"/>
      <c r="B24" s="57"/>
      <c r="C24" s="57"/>
      <c r="D24" s="57"/>
      <c r="E24" s="57"/>
      <c r="F24" s="57"/>
      <c r="G24" s="57"/>
      <c r="H24" s="57"/>
      <c r="I24" s="57"/>
      <c r="J24" s="57"/>
      <c r="K24" s="57"/>
      <c r="L24" s="57"/>
      <c r="M24" s="57"/>
      <c r="N24" s="57"/>
      <c r="O24" s="57"/>
      <c r="P24" s="57"/>
      <c r="Q24" s="57"/>
      <c r="R24" s="57"/>
    </row>
    <row r="25" spans="1:18" x14ac:dyDescent="0.55000000000000004">
      <c r="A25" s="79"/>
      <c r="B25" s="79"/>
      <c r="C25" s="79"/>
      <c r="D25" s="79"/>
      <c r="E25" s="79"/>
      <c r="F25" s="79"/>
      <c r="G25" s="79"/>
      <c r="H25" s="79"/>
      <c r="I25" s="79"/>
      <c r="J25" s="79"/>
      <c r="K25" s="79"/>
      <c r="L25" s="79"/>
      <c r="M25" s="79"/>
      <c r="N25" s="79"/>
      <c r="O25" s="79"/>
      <c r="P25" s="79"/>
    </row>
    <row r="26" spans="1:18" x14ac:dyDescent="0.55000000000000004">
      <c r="A26" s="79"/>
      <c r="B26" s="79"/>
      <c r="C26" s="79"/>
      <c r="D26" s="79"/>
      <c r="E26" s="79"/>
      <c r="F26" s="79"/>
      <c r="G26" s="79"/>
      <c r="H26" s="79"/>
      <c r="I26" s="79"/>
      <c r="J26" s="79"/>
      <c r="K26" s="79"/>
      <c r="L26" s="79"/>
      <c r="M26" s="79"/>
      <c r="N26" s="79"/>
      <c r="O26" s="79"/>
      <c r="P26" s="79"/>
    </row>
    <row r="27" spans="1:18" x14ac:dyDescent="0.55000000000000004">
      <c r="A27" s="79"/>
      <c r="B27" s="79"/>
      <c r="C27" s="79"/>
      <c r="D27" s="79"/>
      <c r="E27" s="79"/>
      <c r="F27" s="79"/>
      <c r="G27" s="79"/>
      <c r="H27" s="79"/>
      <c r="I27" s="79"/>
      <c r="J27" s="79"/>
      <c r="K27" s="79"/>
      <c r="L27" s="79"/>
      <c r="M27" s="79"/>
      <c r="N27" s="79"/>
      <c r="O27" s="79"/>
      <c r="P27" s="79"/>
    </row>
    <row r="28" spans="1:18" x14ac:dyDescent="0.55000000000000004">
      <c r="A28" s="79"/>
      <c r="B28" s="79"/>
      <c r="C28" s="79"/>
      <c r="D28" s="79"/>
      <c r="E28" s="79"/>
      <c r="F28" s="79"/>
      <c r="G28" s="79"/>
      <c r="H28" s="79"/>
      <c r="I28" s="79"/>
      <c r="J28" s="79"/>
      <c r="K28" s="79"/>
      <c r="L28" s="79"/>
      <c r="M28" s="79"/>
      <c r="N28" s="79"/>
      <c r="O28" s="79"/>
      <c r="P28" s="79"/>
    </row>
    <row r="29" spans="1:18" x14ac:dyDescent="0.55000000000000004">
      <c r="A29" s="79"/>
      <c r="B29" s="79"/>
      <c r="C29" s="79"/>
      <c r="D29" s="79"/>
      <c r="E29" s="79"/>
      <c r="F29" s="79"/>
      <c r="G29" s="79"/>
      <c r="H29" s="79"/>
      <c r="I29" s="79"/>
      <c r="J29" s="79"/>
      <c r="K29" s="79"/>
      <c r="L29" s="79"/>
      <c r="M29" s="79"/>
      <c r="N29" s="79"/>
      <c r="O29" s="79"/>
      <c r="P29" s="79"/>
    </row>
    <row r="30" spans="1:18" x14ac:dyDescent="0.55000000000000004">
      <c r="A30" s="79"/>
      <c r="B30" s="79"/>
      <c r="C30" s="79"/>
      <c r="D30" s="79"/>
      <c r="E30" s="79"/>
      <c r="F30" s="79"/>
      <c r="G30" s="79"/>
      <c r="H30" s="79"/>
      <c r="I30" s="79"/>
      <c r="J30" s="79"/>
      <c r="K30" s="79"/>
      <c r="L30" s="79"/>
      <c r="M30" s="79"/>
      <c r="N30" s="79"/>
      <c r="O30" s="79"/>
      <c r="P30" s="79"/>
    </row>
    <row r="31" spans="1:18" x14ac:dyDescent="0.55000000000000004">
      <c r="A31" s="79"/>
      <c r="B31" s="79"/>
      <c r="C31" s="79"/>
      <c r="D31" s="79"/>
      <c r="E31" s="79"/>
      <c r="F31" s="79"/>
      <c r="G31" s="79"/>
      <c r="H31" s="79"/>
      <c r="I31" s="79"/>
      <c r="J31" s="79"/>
      <c r="K31" s="79"/>
      <c r="L31" s="79"/>
      <c r="M31" s="79"/>
      <c r="N31" s="79"/>
      <c r="O31" s="79"/>
      <c r="P31" s="79"/>
    </row>
    <row r="32" spans="1:18" x14ac:dyDescent="0.55000000000000004">
      <c r="A32" s="79"/>
      <c r="B32" s="79"/>
      <c r="C32" s="79"/>
      <c r="D32" s="79"/>
      <c r="E32" s="79"/>
      <c r="F32" s="79"/>
      <c r="G32" s="79"/>
      <c r="H32" s="79"/>
      <c r="I32" s="79"/>
      <c r="J32" s="79"/>
      <c r="K32" s="79"/>
      <c r="L32" s="79"/>
      <c r="M32" s="79"/>
      <c r="N32" s="79"/>
      <c r="O32" s="79"/>
      <c r="P32" s="79"/>
    </row>
    <row r="33" spans="1:16" x14ac:dyDescent="0.55000000000000004">
      <c r="A33" s="79"/>
      <c r="B33" s="79"/>
      <c r="C33" s="79"/>
      <c r="D33" s="79"/>
      <c r="E33" s="79"/>
      <c r="F33" s="79"/>
      <c r="G33" s="79"/>
      <c r="H33" s="79"/>
      <c r="I33" s="79"/>
      <c r="J33" s="79"/>
      <c r="K33" s="79"/>
      <c r="L33" s="79"/>
      <c r="M33" s="79"/>
      <c r="N33" s="79"/>
      <c r="O33" s="79"/>
      <c r="P33" s="79"/>
    </row>
    <row r="34" spans="1:16" x14ac:dyDescent="0.55000000000000004">
      <c r="A34" s="79"/>
      <c r="B34" s="79"/>
      <c r="C34" s="79"/>
      <c r="D34" s="79"/>
      <c r="E34" s="79"/>
      <c r="F34" s="79"/>
      <c r="G34" s="79"/>
      <c r="H34" s="79"/>
      <c r="I34" s="79"/>
      <c r="J34" s="79"/>
      <c r="K34" s="79"/>
      <c r="L34" s="79"/>
      <c r="M34" s="79"/>
      <c r="N34" s="79"/>
      <c r="O34" s="79"/>
      <c r="P34" s="79"/>
    </row>
    <row r="35" spans="1:16" x14ac:dyDescent="0.55000000000000004">
      <c r="A35" s="79"/>
      <c r="B35" s="79"/>
      <c r="C35" s="79"/>
      <c r="D35" s="79"/>
      <c r="E35" s="79"/>
      <c r="F35" s="79"/>
      <c r="G35" s="79"/>
      <c r="H35" s="79"/>
      <c r="I35" s="79"/>
      <c r="J35" s="79"/>
      <c r="K35" s="79"/>
      <c r="L35" s="79"/>
      <c r="M35" s="79"/>
      <c r="N35" s="79"/>
      <c r="O35" s="79"/>
      <c r="P35" s="79"/>
    </row>
    <row r="36" spans="1:16" x14ac:dyDescent="0.55000000000000004">
      <c r="A36" s="79"/>
      <c r="B36" s="79"/>
      <c r="C36" s="79"/>
      <c r="D36" s="79"/>
      <c r="E36" s="79"/>
      <c r="F36" s="79"/>
      <c r="G36" s="79"/>
      <c r="H36" s="79"/>
      <c r="I36" s="79"/>
      <c r="J36" s="79"/>
      <c r="K36" s="79"/>
      <c r="L36" s="79"/>
      <c r="M36" s="79"/>
      <c r="N36" s="79"/>
      <c r="O36" s="79"/>
      <c r="P36" s="79"/>
    </row>
    <row r="37" spans="1:16" x14ac:dyDescent="0.55000000000000004">
      <c r="A37" s="79"/>
      <c r="B37" s="79"/>
      <c r="C37" s="79"/>
      <c r="D37" s="79"/>
      <c r="E37" s="79"/>
      <c r="F37" s="79"/>
      <c r="G37" s="79"/>
      <c r="H37" s="79"/>
      <c r="I37" s="79"/>
      <c r="J37" s="79"/>
      <c r="K37" s="79"/>
      <c r="L37" s="79"/>
      <c r="M37" s="79"/>
      <c r="N37" s="79"/>
      <c r="O37" s="79"/>
      <c r="P37" s="79"/>
    </row>
    <row r="38" spans="1:16" x14ac:dyDescent="0.55000000000000004">
      <c r="A38" s="79"/>
      <c r="B38" s="79"/>
      <c r="C38" s="79"/>
      <c r="D38" s="79"/>
      <c r="E38" s="79"/>
      <c r="F38" s="79"/>
      <c r="G38" s="79"/>
      <c r="H38" s="79"/>
      <c r="I38" s="79"/>
      <c r="J38" s="79"/>
      <c r="K38" s="79"/>
      <c r="L38" s="79"/>
      <c r="M38" s="79"/>
      <c r="N38" s="79"/>
      <c r="O38" s="79"/>
      <c r="P38" s="79"/>
    </row>
    <row r="39" spans="1:16" x14ac:dyDescent="0.55000000000000004">
      <c r="A39" s="79"/>
      <c r="B39" s="79"/>
      <c r="C39" s="79"/>
      <c r="D39" s="79"/>
      <c r="E39" s="79"/>
      <c r="F39" s="79"/>
      <c r="G39" s="79"/>
      <c r="H39" s="79"/>
      <c r="I39" s="79"/>
      <c r="J39" s="79"/>
      <c r="K39" s="79"/>
      <c r="L39" s="79"/>
      <c r="M39" s="79"/>
      <c r="N39" s="79"/>
      <c r="O39" s="79"/>
      <c r="P39" s="79"/>
    </row>
    <row r="40" spans="1:16" x14ac:dyDescent="0.55000000000000004">
      <c r="A40" s="79"/>
      <c r="B40" s="79"/>
      <c r="C40" s="79"/>
      <c r="D40" s="79"/>
      <c r="E40" s="79"/>
      <c r="F40" s="79"/>
      <c r="G40" s="79"/>
      <c r="H40" s="79"/>
      <c r="I40" s="79"/>
      <c r="J40" s="79"/>
      <c r="K40" s="79"/>
      <c r="L40" s="79"/>
      <c r="M40" s="79"/>
      <c r="N40" s="79"/>
      <c r="O40" s="79"/>
      <c r="P40" s="79"/>
    </row>
    <row r="41" spans="1:16" x14ac:dyDescent="0.55000000000000004">
      <c r="A41" s="79"/>
      <c r="B41" s="79"/>
      <c r="C41" s="79"/>
      <c r="D41" s="79"/>
      <c r="E41" s="79"/>
      <c r="F41" s="79"/>
      <c r="G41" s="79"/>
      <c r="H41" s="79"/>
      <c r="I41" s="79"/>
      <c r="J41" s="79"/>
      <c r="K41" s="79"/>
      <c r="L41" s="79"/>
      <c r="M41" s="79"/>
      <c r="N41" s="79"/>
      <c r="O41" s="79"/>
      <c r="P41" s="79"/>
    </row>
    <row r="42" spans="1:16" x14ac:dyDescent="0.55000000000000004">
      <c r="A42" s="79"/>
      <c r="B42" s="79"/>
      <c r="C42" s="79"/>
      <c r="D42" s="79"/>
      <c r="E42" s="79"/>
      <c r="F42" s="79"/>
      <c r="G42" s="79"/>
      <c r="H42" s="79"/>
      <c r="I42" s="79"/>
      <c r="J42" s="79"/>
      <c r="K42" s="79"/>
      <c r="L42" s="79"/>
      <c r="M42" s="79"/>
      <c r="N42" s="79"/>
      <c r="O42" s="79"/>
      <c r="P42" s="79"/>
    </row>
    <row r="43" spans="1:16" x14ac:dyDescent="0.55000000000000004">
      <c r="A43" s="79"/>
      <c r="B43" s="79"/>
      <c r="C43" s="79"/>
      <c r="D43" s="79"/>
      <c r="E43" s="79"/>
      <c r="F43" s="79"/>
      <c r="G43" s="79"/>
      <c r="H43" s="79"/>
      <c r="I43" s="79"/>
      <c r="J43" s="79"/>
      <c r="K43" s="79"/>
      <c r="L43" s="79"/>
      <c r="M43" s="79"/>
      <c r="N43" s="79"/>
      <c r="O43" s="79"/>
      <c r="P43" s="79"/>
    </row>
    <row r="44" spans="1:16" x14ac:dyDescent="0.55000000000000004">
      <c r="A44" s="79"/>
      <c r="B44" s="79"/>
      <c r="C44" s="79"/>
      <c r="D44" s="79"/>
      <c r="E44" s="79"/>
      <c r="F44" s="79"/>
      <c r="G44" s="79"/>
      <c r="H44" s="79"/>
      <c r="I44" s="79"/>
      <c r="J44" s="79"/>
      <c r="K44" s="79"/>
      <c r="L44" s="79"/>
      <c r="M44" s="79"/>
      <c r="N44" s="79"/>
      <c r="O44" s="79"/>
      <c r="P44" s="79"/>
    </row>
    <row r="45" spans="1:16" x14ac:dyDescent="0.55000000000000004">
      <c r="A45" s="79"/>
      <c r="B45" s="79"/>
      <c r="C45" s="79"/>
      <c r="D45" s="79"/>
      <c r="E45" s="79"/>
      <c r="F45" s="79"/>
      <c r="G45" s="79"/>
      <c r="H45" s="79"/>
      <c r="I45" s="79"/>
      <c r="J45" s="79"/>
      <c r="K45" s="79"/>
      <c r="L45" s="79"/>
      <c r="M45" s="79"/>
      <c r="N45" s="79"/>
      <c r="O45" s="79"/>
      <c r="P45" s="79"/>
    </row>
  </sheetData>
  <mergeCells count="1">
    <mergeCell ref="A3:R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E3A4D-CFC4-42F5-A887-BE834B499E9F}">
  <dimension ref="A1:W53"/>
  <sheetViews>
    <sheetView workbookViewId="0">
      <selection activeCell="A3" sqref="A3:R24"/>
    </sheetView>
  </sheetViews>
  <sheetFormatPr defaultRowHeight="14.4" x14ac:dyDescent="0.55000000000000004"/>
  <sheetData>
    <row r="1" spans="1:23" x14ac:dyDescent="0.55000000000000004">
      <c r="A1" s="13" t="s">
        <v>443</v>
      </c>
    </row>
    <row r="3" spans="1:23" x14ac:dyDescent="0.55000000000000004">
      <c r="A3" s="57" t="s">
        <v>444</v>
      </c>
      <c r="B3" s="57"/>
      <c r="C3" s="57"/>
      <c r="D3" s="57"/>
      <c r="E3" s="57"/>
      <c r="F3" s="57"/>
      <c r="G3" s="57"/>
      <c r="H3" s="57"/>
      <c r="I3" s="57"/>
      <c r="J3" s="57"/>
      <c r="K3" s="57"/>
      <c r="L3" s="57"/>
      <c r="M3" s="57"/>
      <c r="N3" s="57"/>
      <c r="O3" s="57"/>
      <c r="P3" s="57"/>
      <c r="Q3" s="57"/>
      <c r="R3" s="57"/>
      <c r="S3" s="5"/>
      <c r="T3" s="5"/>
      <c r="U3" s="5"/>
      <c r="V3" s="5"/>
      <c r="W3" s="5"/>
    </row>
    <row r="4" spans="1:23" x14ac:dyDescent="0.55000000000000004">
      <c r="A4" s="57"/>
      <c r="B4" s="57"/>
      <c r="C4" s="57"/>
      <c r="D4" s="57"/>
      <c r="E4" s="57"/>
      <c r="F4" s="57"/>
      <c r="G4" s="57"/>
      <c r="H4" s="57"/>
      <c r="I4" s="57"/>
      <c r="J4" s="57"/>
      <c r="K4" s="57"/>
      <c r="L4" s="57"/>
      <c r="M4" s="57"/>
      <c r="N4" s="57"/>
      <c r="O4" s="57"/>
      <c r="P4" s="57"/>
      <c r="Q4" s="57"/>
      <c r="R4" s="57"/>
      <c r="S4" s="5"/>
      <c r="T4" s="5"/>
      <c r="U4" s="5"/>
      <c r="V4" s="5"/>
      <c r="W4" s="5"/>
    </row>
    <row r="5" spans="1:23" x14ac:dyDescent="0.55000000000000004">
      <c r="A5" s="57"/>
      <c r="B5" s="57"/>
      <c r="C5" s="57"/>
      <c r="D5" s="57"/>
      <c r="E5" s="57"/>
      <c r="F5" s="57"/>
      <c r="G5" s="57"/>
      <c r="H5" s="57"/>
      <c r="I5" s="57"/>
      <c r="J5" s="57"/>
      <c r="K5" s="57"/>
      <c r="L5" s="57"/>
      <c r="M5" s="57"/>
      <c r="N5" s="57"/>
      <c r="O5" s="57"/>
      <c r="P5" s="57"/>
      <c r="Q5" s="57"/>
      <c r="R5" s="57"/>
      <c r="S5" s="5"/>
      <c r="T5" s="5"/>
      <c r="U5" s="5"/>
      <c r="V5" s="5"/>
      <c r="W5" s="5"/>
    </row>
    <row r="6" spans="1:23" x14ac:dyDescent="0.55000000000000004">
      <c r="A6" s="57"/>
      <c r="B6" s="57"/>
      <c r="C6" s="57"/>
      <c r="D6" s="57"/>
      <c r="E6" s="57"/>
      <c r="F6" s="57"/>
      <c r="G6" s="57"/>
      <c r="H6" s="57"/>
      <c r="I6" s="57"/>
      <c r="J6" s="57"/>
      <c r="K6" s="57"/>
      <c r="L6" s="57"/>
      <c r="M6" s="57"/>
      <c r="N6" s="57"/>
      <c r="O6" s="57"/>
      <c r="P6" s="57"/>
      <c r="Q6" s="57"/>
      <c r="R6" s="57"/>
      <c r="S6" s="5"/>
      <c r="T6" s="5"/>
      <c r="U6" s="5"/>
      <c r="V6" s="5"/>
      <c r="W6" s="5"/>
    </row>
    <row r="7" spans="1:23" x14ac:dyDescent="0.55000000000000004">
      <c r="A7" s="57"/>
      <c r="B7" s="57"/>
      <c r="C7" s="57"/>
      <c r="D7" s="57"/>
      <c r="E7" s="57"/>
      <c r="F7" s="57"/>
      <c r="G7" s="57"/>
      <c r="H7" s="57"/>
      <c r="I7" s="57"/>
      <c r="J7" s="57"/>
      <c r="K7" s="57"/>
      <c r="L7" s="57"/>
      <c r="M7" s="57"/>
      <c r="N7" s="57"/>
      <c r="O7" s="57"/>
      <c r="P7" s="57"/>
      <c r="Q7" s="57"/>
      <c r="R7" s="57"/>
      <c r="S7" s="5"/>
      <c r="T7" s="5"/>
      <c r="U7" s="5"/>
      <c r="V7" s="5"/>
      <c r="W7" s="5"/>
    </row>
    <row r="8" spans="1:23" x14ac:dyDescent="0.55000000000000004">
      <c r="A8" s="57"/>
      <c r="B8" s="57"/>
      <c r="C8" s="57"/>
      <c r="D8" s="57"/>
      <c r="E8" s="57"/>
      <c r="F8" s="57"/>
      <c r="G8" s="57"/>
      <c r="H8" s="57"/>
      <c r="I8" s="57"/>
      <c r="J8" s="57"/>
      <c r="K8" s="57"/>
      <c r="L8" s="57"/>
      <c r="M8" s="57"/>
      <c r="N8" s="57"/>
      <c r="O8" s="57"/>
      <c r="P8" s="57"/>
      <c r="Q8" s="57"/>
      <c r="R8" s="57"/>
      <c r="S8" s="5"/>
      <c r="T8" s="5"/>
      <c r="U8" s="5"/>
      <c r="V8" s="5"/>
      <c r="W8" s="5"/>
    </row>
    <row r="9" spans="1:23" x14ac:dyDescent="0.55000000000000004">
      <c r="A9" s="57"/>
      <c r="B9" s="57"/>
      <c r="C9" s="57"/>
      <c r="D9" s="57"/>
      <c r="E9" s="57"/>
      <c r="F9" s="57"/>
      <c r="G9" s="57"/>
      <c r="H9" s="57"/>
      <c r="I9" s="57"/>
      <c r="J9" s="57"/>
      <c r="K9" s="57"/>
      <c r="L9" s="57"/>
      <c r="M9" s="57"/>
      <c r="N9" s="57"/>
      <c r="O9" s="57"/>
      <c r="P9" s="57"/>
      <c r="Q9" s="57"/>
      <c r="R9" s="57"/>
      <c r="S9" s="5"/>
      <c r="T9" s="5"/>
      <c r="U9" s="5"/>
      <c r="V9" s="5"/>
      <c r="W9" s="5"/>
    </row>
    <row r="10" spans="1:23" x14ac:dyDescent="0.55000000000000004">
      <c r="A10" s="57"/>
      <c r="B10" s="57"/>
      <c r="C10" s="57"/>
      <c r="D10" s="57"/>
      <c r="E10" s="57"/>
      <c r="F10" s="57"/>
      <c r="G10" s="57"/>
      <c r="H10" s="57"/>
      <c r="I10" s="57"/>
      <c r="J10" s="57"/>
      <c r="K10" s="57"/>
      <c r="L10" s="57"/>
      <c r="M10" s="57"/>
      <c r="N10" s="57"/>
      <c r="O10" s="57"/>
      <c r="P10" s="57"/>
      <c r="Q10" s="57"/>
      <c r="R10" s="57"/>
      <c r="S10" s="5"/>
      <c r="T10" s="5"/>
      <c r="U10" s="5"/>
      <c r="V10" s="5"/>
      <c r="W10" s="5"/>
    </row>
    <row r="11" spans="1:23" x14ac:dyDescent="0.55000000000000004">
      <c r="A11" s="57"/>
      <c r="B11" s="57"/>
      <c r="C11" s="57"/>
      <c r="D11" s="57"/>
      <c r="E11" s="57"/>
      <c r="F11" s="57"/>
      <c r="G11" s="57"/>
      <c r="H11" s="57"/>
      <c r="I11" s="57"/>
      <c r="J11" s="57"/>
      <c r="K11" s="57"/>
      <c r="L11" s="57"/>
      <c r="M11" s="57"/>
      <c r="N11" s="57"/>
      <c r="O11" s="57"/>
      <c r="P11" s="57"/>
      <c r="Q11" s="57"/>
      <c r="R11" s="57"/>
      <c r="S11" s="5"/>
      <c r="T11" s="5"/>
      <c r="U11" s="5"/>
      <c r="V11" s="5"/>
      <c r="W11" s="5"/>
    </row>
    <row r="12" spans="1:23" x14ac:dyDescent="0.55000000000000004">
      <c r="A12" s="57"/>
      <c r="B12" s="57"/>
      <c r="C12" s="57"/>
      <c r="D12" s="57"/>
      <c r="E12" s="57"/>
      <c r="F12" s="57"/>
      <c r="G12" s="57"/>
      <c r="H12" s="57"/>
      <c r="I12" s="57"/>
      <c r="J12" s="57"/>
      <c r="K12" s="57"/>
      <c r="L12" s="57"/>
      <c r="M12" s="57"/>
      <c r="N12" s="57"/>
      <c r="O12" s="57"/>
      <c r="P12" s="57"/>
      <c r="Q12" s="57"/>
      <c r="R12" s="57"/>
      <c r="S12" s="5"/>
      <c r="T12" s="5"/>
      <c r="U12" s="5"/>
      <c r="V12" s="5"/>
      <c r="W12" s="5"/>
    </row>
    <row r="13" spans="1:23" x14ac:dyDescent="0.55000000000000004">
      <c r="A13" s="57"/>
      <c r="B13" s="57"/>
      <c r="C13" s="57"/>
      <c r="D13" s="57"/>
      <c r="E13" s="57"/>
      <c r="F13" s="57"/>
      <c r="G13" s="57"/>
      <c r="H13" s="57"/>
      <c r="I13" s="57"/>
      <c r="J13" s="57"/>
      <c r="K13" s="57"/>
      <c r="L13" s="57"/>
      <c r="M13" s="57"/>
      <c r="N13" s="57"/>
      <c r="O13" s="57"/>
      <c r="P13" s="57"/>
      <c r="Q13" s="57"/>
      <c r="R13" s="57"/>
      <c r="S13" s="5"/>
      <c r="T13" s="5"/>
      <c r="U13" s="5"/>
      <c r="V13" s="5"/>
      <c r="W13" s="5"/>
    </row>
    <row r="14" spans="1:23" x14ac:dyDescent="0.55000000000000004">
      <c r="A14" s="57"/>
      <c r="B14" s="57"/>
      <c r="C14" s="57"/>
      <c r="D14" s="57"/>
      <c r="E14" s="57"/>
      <c r="F14" s="57"/>
      <c r="G14" s="57"/>
      <c r="H14" s="57"/>
      <c r="I14" s="57"/>
      <c r="J14" s="57"/>
      <c r="K14" s="57"/>
      <c r="L14" s="57"/>
      <c r="M14" s="57"/>
      <c r="N14" s="57"/>
      <c r="O14" s="57"/>
      <c r="P14" s="57"/>
      <c r="Q14" s="57"/>
      <c r="R14" s="57"/>
      <c r="S14" s="5"/>
      <c r="T14" s="5"/>
      <c r="U14" s="5"/>
      <c r="V14" s="5"/>
      <c r="W14" s="5"/>
    </row>
    <row r="15" spans="1:23" x14ac:dyDescent="0.55000000000000004">
      <c r="A15" s="57"/>
      <c r="B15" s="57"/>
      <c r="C15" s="57"/>
      <c r="D15" s="57"/>
      <c r="E15" s="57"/>
      <c r="F15" s="57"/>
      <c r="G15" s="57"/>
      <c r="H15" s="57"/>
      <c r="I15" s="57"/>
      <c r="J15" s="57"/>
      <c r="K15" s="57"/>
      <c r="L15" s="57"/>
      <c r="M15" s="57"/>
      <c r="N15" s="57"/>
      <c r="O15" s="57"/>
      <c r="P15" s="57"/>
      <c r="Q15" s="57"/>
      <c r="R15" s="57"/>
      <c r="S15" s="5"/>
      <c r="T15" s="5"/>
      <c r="U15" s="5"/>
      <c r="V15" s="5"/>
      <c r="W15" s="5"/>
    </row>
    <row r="16" spans="1:23" x14ac:dyDescent="0.55000000000000004">
      <c r="A16" s="57"/>
      <c r="B16" s="57"/>
      <c r="C16" s="57"/>
      <c r="D16" s="57"/>
      <c r="E16" s="57"/>
      <c r="F16" s="57"/>
      <c r="G16" s="57"/>
      <c r="H16" s="57"/>
      <c r="I16" s="57"/>
      <c r="J16" s="57"/>
      <c r="K16" s="57"/>
      <c r="L16" s="57"/>
      <c r="M16" s="57"/>
      <c r="N16" s="57"/>
      <c r="O16" s="57"/>
      <c r="P16" s="57"/>
      <c r="Q16" s="57"/>
      <c r="R16" s="57"/>
      <c r="S16" s="5"/>
      <c r="T16" s="5"/>
      <c r="U16" s="5"/>
      <c r="V16" s="5"/>
      <c r="W16" s="5"/>
    </row>
    <row r="17" spans="1:23" x14ac:dyDescent="0.55000000000000004">
      <c r="A17" s="57"/>
      <c r="B17" s="57"/>
      <c r="C17" s="57"/>
      <c r="D17" s="57"/>
      <c r="E17" s="57"/>
      <c r="F17" s="57"/>
      <c r="G17" s="57"/>
      <c r="H17" s="57"/>
      <c r="I17" s="57"/>
      <c r="J17" s="57"/>
      <c r="K17" s="57"/>
      <c r="L17" s="57"/>
      <c r="M17" s="57"/>
      <c r="N17" s="57"/>
      <c r="O17" s="57"/>
      <c r="P17" s="57"/>
      <c r="Q17" s="57"/>
      <c r="R17" s="57"/>
      <c r="S17" s="5"/>
      <c r="T17" s="5"/>
      <c r="U17" s="5"/>
      <c r="V17" s="5"/>
      <c r="W17" s="5"/>
    </row>
    <row r="18" spans="1:23" x14ac:dyDescent="0.55000000000000004">
      <c r="A18" s="57"/>
      <c r="B18" s="57"/>
      <c r="C18" s="57"/>
      <c r="D18" s="57"/>
      <c r="E18" s="57"/>
      <c r="F18" s="57"/>
      <c r="G18" s="57"/>
      <c r="H18" s="57"/>
      <c r="I18" s="57"/>
      <c r="J18" s="57"/>
      <c r="K18" s="57"/>
      <c r="L18" s="57"/>
      <c r="M18" s="57"/>
      <c r="N18" s="57"/>
      <c r="O18" s="57"/>
      <c r="P18" s="57"/>
      <c r="Q18" s="57"/>
      <c r="R18" s="57"/>
      <c r="S18" s="5"/>
      <c r="T18" s="5"/>
      <c r="U18" s="5"/>
      <c r="V18" s="5"/>
      <c r="W18" s="5"/>
    </row>
    <row r="19" spans="1:23" x14ac:dyDescent="0.55000000000000004">
      <c r="A19" s="57"/>
      <c r="B19" s="57"/>
      <c r="C19" s="57"/>
      <c r="D19" s="57"/>
      <c r="E19" s="57"/>
      <c r="F19" s="57"/>
      <c r="G19" s="57"/>
      <c r="H19" s="57"/>
      <c r="I19" s="57"/>
      <c r="J19" s="57"/>
      <c r="K19" s="57"/>
      <c r="L19" s="57"/>
      <c r="M19" s="57"/>
      <c r="N19" s="57"/>
      <c r="O19" s="57"/>
      <c r="P19" s="57"/>
      <c r="Q19" s="57"/>
      <c r="R19" s="57"/>
      <c r="S19" s="5"/>
      <c r="T19" s="5"/>
      <c r="U19" s="5"/>
      <c r="V19" s="5"/>
      <c r="W19" s="5"/>
    </row>
    <row r="20" spans="1:23" x14ac:dyDescent="0.55000000000000004">
      <c r="A20" s="57"/>
      <c r="B20" s="57"/>
      <c r="C20" s="57"/>
      <c r="D20" s="57"/>
      <c r="E20" s="57"/>
      <c r="F20" s="57"/>
      <c r="G20" s="57"/>
      <c r="H20" s="57"/>
      <c r="I20" s="57"/>
      <c r="J20" s="57"/>
      <c r="K20" s="57"/>
      <c r="L20" s="57"/>
      <c r="M20" s="57"/>
      <c r="N20" s="57"/>
      <c r="O20" s="57"/>
      <c r="P20" s="57"/>
      <c r="Q20" s="57"/>
      <c r="R20" s="57"/>
      <c r="S20" s="5"/>
      <c r="T20" s="5"/>
      <c r="U20" s="5"/>
      <c r="V20" s="5"/>
      <c r="W20" s="5"/>
    </row>
    <row r="21" spans="1:23" x14ac:dyDescent="0.55000000000000004">
      <c r="A21" s="57"/>
      <c r="B21" s="57"/>
      <c r="C21" s="57"/>
      <c r="D21" s="57"/>
      <c r="E21" s="57"/>
      <c r="F21" s="57"/>
      <c r="G21" s="57"/>
      <c r="H21" s="57"/>
      <c r="I21" s="57"/>
      <c r="J21" s="57"/>
      <c r="K21" s="57"/>
      <c r="L21" s="57"/>
      <c r="M21" s="57"/>
      <c r="N21" s="57"/>
      <c r="O21" s="57"/>
      <c r="P21" s="57"/>
      <c r="Q21" s="57"/>
      <c r="R21" s="57"/>
      <c r="S21" s="5"/>
      <c r="T21" s="5"/>
      <c r="U21" s="5"/>
      <c r="V21" s="5"/>
      <c r="W21" s="5"/>
    </row>
    <row r="22" spans="1:23" x14ac:dyDescent="0.55000000000000004">
      <c r="A22" s="57"/>
      <c r="B22" s="57"/>
      <c r="C22" s="57"/>
      <c r="D22" s="57"/>
      <c r="E22" s="57"/>
      <c r="F22" s="57"/>
      <c r="G22" s="57"/>
      <c r="H22" s="57"/>
      <c r="I22" s="57"/>
      <c r="J22" s="57"/>
      <c r="K22" s="57"/>
      <c r="L22" s="57"/>
      <c r="M22" s="57"/>
      <c r="N22" s="57"/>
      <c r="O22" s="57"/>
      <c r="P22" s="57"/>
      <c r="Q22" s="57"/>
      <c r="R22" s="57"/>
      <c r="S22" s="5"/>
      <c r="T22" s="5"/>
      <c r="U22" s="5"/>
      <c r="V22" s="5"/>
      <c r="W22" s="5"/>
    </row>
    <row r="23" spans="1:23" x14ac:dyDescent="0.55000000000000004">
      <c r="A23" s="57"/>
      <c r="B23" s="57"/>
      <c r="C23" s="57"/>
      <c r="D23" s="57"/>
      <c r="E23" s="57"/>
      <c r="F23" s="57"/>
      <c r="G23" s="57"/>
      <c r="H23" s="57"/>
      <c r="I23" s="57"/>
      <c r="J23" s="57"/>
      <c r="K23" s="57"/>
      <c r="L23" s="57"/>
      <c r="M23" s="57"/>
      <c r="N23" s="57"/>
      <c r="O23" s="57"/>
      <c r="P23" s="57"/>
      <c r="Q23" s="57"/>
      <c r="R23" s="57"/>
      <c r="S23" s="5"/>
      <c r="T23" s="5"/>
      <c r="U23" s="5"/>
      <c r="V23" s="5"/>
      <c r="W23" s="5"/>
    </row>
    <row r="24" spans="1:23" x14ac:dyDescent="0.55000000000000004">
      <c r="A24" s="57"/>
      <c r="B24" s="57"/>
      <c r="C24" s="57"/>
      <c r="D24" s="57"/>
      <c r="E24" s="57"/>
      <c r="F24" s="57"/>
      <c r="G24" s="57"/>
      <c r="H24" s="57"/>
      <c r="I24" s="57"/>
      <c r="J24" s="57"/>
      <c r="K24" s="57"/>
      <c r="L24" s="57"/>
      <c r="M24" s="57"/>
      <c r="N24" s="57"/>
      <c r="O24" s="57"/>
      <c r="P24" s="57"/>
      <c r="Q24" s="57"/>
      <c r="R24" s="57"/>
      <c r="S24" s="5"/>
      <c r="T24" s="5"/>
      <c r="U24" s="5"/>
      <c r="V24" s="5"/>
      <c r="W24" s="5"/>
    </row>
    <row r="25" spans="1:23" x14ac:dyDescent="0.55000000000000004">
      <c r="A25" s="62"/>
      <c r="B25" s="62"/>
      <c r="C25" s="62"/>
      <c r="D25" s="62"/>
      <c r="E25" s="62"/>
      <c r="F25" s="62"/>
      <c r="G25" s="62"/>
      <c r="H25" s="62"/>
      <c r="I25" s="62"/>
      <c r="J25" s="62"/>
      <c r="K25" s="62"/>
      <c r="L25" s="62"/>
      <c r="M25" s="62"/>
      <c r="N25" s="62"/>
      <c r="O25" s="5"/>
      <c r="P25" s="5"/>
      <c r="Q25" s="5"/>
      <c r="R25" s="5"/>
      <c r="S25" s="5"/>
      <c r="T25" s="5"/>
      <c r="U25" s="5"/>
      <c r="V25" s="5"/>
      <c r="W25" s="5"/>
    </row>
    <row r="26" spans="1:23" x14ac:dyDescent="0.55000000000000004">
      <c r="A26" s="62"/>
      <c r="B26" s="62"/>
      <c r="C26" s="62"/>
      <c r="D26" s="62"/>
      <c r="E26" s="62"/>
      <c r="F26" s="62"/>
      <c r="G26" s="62"/>
      <c r="H26" s="62"/>
      <c r="I26" s="62"/>
      <c r="J26" s="62"/>
      <c r="K26" s="62"/>
      <c r="L26" s="62"/>
      <c r="M26" s="62"/>
      <c r="N26" s="62"/>
      <c r="O26" s="5"/>
      <c r="P26" s="5"/>
      <c r="Q26" s="5"/>
      <c r="R26" s="5"/>
      <c r="S26" s="5"/>
      <c r="T26" s="5"/>
      <c r="U26" s="5"/>
      <c r="V26" s="5"/>
      <c r="W26" s="5"/>
    </row>
    <row r="27" spans="1:23" x14ac:dyDescent="0.55000000000000004">
      <c r="A27" s="62"/>
      <c r="B27" s="62"/>
      <c r="C27" s="62"/>
      <c r="D27" s="62"/>
      <c r="E27" s="62"/>
      <c r="F27" s="62"/>
      <c r="G27" s="62"/>
      <c r="H27" s="62"/>
      <c r="I27" s="62"/>
      <c r="J27" s="62"/>
      <c r="K27" s="62"/>
      <c r="L27" s="62"/>
      <c r="M27" s="62"/>
      <c r="N27" s="62"/>
      <c r="O27" s="5"/>
      <c r="P27" s="5"/>
      <c r="Q27" s="5"/>
      <c r="R27" s="5"/>
      <c r="S27" s="5"/>
      <c r="T27" s="5"/>
      <c r="U27" s="5"/>
      <c r="V27" s="5"/>
      <c r="W27" s="5"/>
    </row>
    <row r="30" spans="1:23" x14ac:dyDescent="0.55000000000000004">
      <c r="A30" s="13" t="s">
        <v>443</v>
      </c>
    </row>
    <row r="32" spans="1:23" x14ac:dyDescent="0.55000000000000004">
      <c r="A32" s="57" t="s">
        <v>444</v>
      </c>
      <c r="B32" s="57"/>
      <c r="C32" s="57"/>
      <c r="D32" s="57"/>
      <c r="E32" s="57"/>
      <c r="F32" s="57"/>
      <c r="G32" s="57"/>
      <c r="H32" s="57"/>
      <c r="I32" s="57"/>
      <c r="J32" s="57"/>
      <c r="K32" s="57"/>
      <c r="L32" s="57"/>
      <c r="M32" s="57"/>
      <c r="N32" s="57"/>
      <c r="O32" s="57"/>
      <c r="P32" s="57"/>
      <c r="Q32" s="57"/>
      <c r="R32" s="57"/>
    </row>
    <row r="33" spans="1:18" x14ac:dyDescent="0.55000000000000004">
      <c r="A33" s="57"/>
      <c r="B33" s="57"/>
      <c r="C33" s="57"/>
      <c r="D33" s="57"/>
      <c r="E33" s="57"/>
      <c r="F33" s="57"/>
      <c r="G33" s="57"/>
      <c r="H33" s="57"/>
      <c r="I33" s="57"/>
      <c r="J33" s="57"/>
      <c r="K33" s="57"/>
      <c r="L33" s="57"/>
      <c r="M33" s="57"/>
      <c r="N33" s="57"/>
      <c r="O33" s="57"/>
      <c r="P33" s="57"/>
      <c r="Q33" s="57"/>
      <c r="R33" s="57"/>
    </row>
    <row r="34" spans="1:18" x14ac:dyDescent="0.55000000000000004">
      <c r="A34" s="57"/>
      <c r="B34" s="57"/>
      <c r="C34" s="57"/>
      <c r="D34" s="57"/>
      <c r="E34" s="57"/>
      <c r="F34" s="57"/>
      <c r="G34" s="57"/>
      <c r="H34" s="57"/>
      <c r="I34" s="57"/>
      <c r="J34" s="57"/>
      <c r="K34" s="57"/>
      <c r="L34" s="57"/>
      <c r="M34" s="57"/>
      <c r="N34" s="57"/>
      <c r="O34" s="57"/>
      <c r="P34" s="57"/>
      <c r="Q34" s="57"/>
      <c r="R34" s="57"/>
    </row>
    <row r="35" spans="1:18" x14ac:dyDescent="0.55000000000000004">
      <c r="A35" s="57"/>
      <c r="B35" s="57"/>
      <c r="C35" s="57"/>
      <c r="D35" s="57"/>
      <c r="E35" s="57"/>
      <c r="F35" s="57"/>
      <c r="G35" s="57"/>
      <c r="H35" s="57"/>
      <c r="I35" s="57"/>
      <c r="J35" s="57"/>
      <c r="K35" s="57"/>
      <c r="L35" s="57"/>
      <c r="M35" s="57"/>
      <c r="N35" s="57"/>
      <c r="O35" s="57"/>
      <c r="P35" s="57"/>
      <c r="Q35" s="57"/>
      <c r="R35" s="57"/>
    </row>
    <row r="36" spans="1:18" x14ac:dyDescent="0.55000000000000004">
      <c r="A36" s="57"/>
      <c r="B36" s="57"/>
      <c r="C36" s="57"/>
      <c r="D36" s="57"/>
      <c r="E36" s="57"/>
      <c r="F36" s="57"/>
      <c r="G36" s="57"/>
      <c r="H36" s="57"/>
      <c r="I36" s="57"/>
      <c r="J36" s="57"/>
      <c r="K36" s="57"/>
      <c r="L36" s="57"/>
      <c r="M36" s="57"/>
      <c r="N36" s="57"/>
      <c r="O36" s="57"/>
      <c r="P36" s="57"/>
      <c r="Q36" s="57"/>
      <c r="R36" s="57"/>
    </row>
    <row r="37" spans="1:18" x14ac:dyDescent="0.55000000000000004">
      <c r="A37" s="57"/>
      <c r="B37" s="57"/>
      <c r="C37" s="57"/>
      <c r="D37" s="57"/>
      <c r="E37" s="57"/>
      <c r="F37" s="57"/>
      <c r="G37" s="57"/>
      <c r="H37" s="57"/>
      <c r="I37" s="57"/>
      <c r="J37" s="57"/>
      <c r="K37" s="57"/>
      <c r="L37" s="57"/>
      <c r="M37" s="57"/>
      <c r="N37" s="57"/>
      <c r="O37" s="57"/>
      <c r="P37" s="57"/>
      <c r="Q37" s="57"/>
      <c r="R37" s="57"/>
    </row>
    <row r="38" spans="1:18" x14ac:dyDescent="0.55000000000000004">
      <c r="A38" s="57"/>
      <c r="B38" s="57"/>
      <c r="C38" s="57"/>
      <c r="D38" s="57"/>
      <c r="E38" s="57"/>
      <c r="F38" s="57"/>
      <c r="G38" s="57"/>
      <c r="H38" s="57"/>
      <c r="I38" s="57"/>
      <c r="J38" s="57"/>
      <c r="K38" s="57"/>
      <c r="L38" s="57"/>
      <c r="M38" s="57"/>
      <c r="N38" s="57"/>
      <c r="O38" s="57"/>
      <c r="P38" s="57"/>
      <c r="Q38" s="57"/>
      <c r="R38" s="57"/>
    </row>
    <row r="39" spans="1:18" x14ac:dyDescent="0.55000000000000004">
      <c r="A39" s="57"/>
      <c r="B39" s="57"/>
      <c r="C39" s="57"/>
      <c r="D39" s="57"/>
      <c r="E39" s="57"/>
      <c r="F39" s="57"/>
      <c r="G39" s="57"/>
      <c r="H39" s="57"/>
      <c r="I39" s="57"/>
      <c r="J39" s="57"/>
      <c r="K39" s="57"/>
      <c r="L39" s="57"/>
      <c r="M39" s="57"/>
      <c r="N39" s="57"/>
      <c r="O39" s="57"/>
      <c r="P39" s="57"/>
      <c r="Q39" s="57"/>
      <c r="R39" s="57"/>
    </row>
    <row r="40" spans="1:18" x14ac:dyDescent="0.55000000000000004">
      <c r="A40" s="57"/>
      <c r="B40" s="57"/>
      <c r="C40" s="57"/>
      <c r="D40" s="57"/>
      <c r="E40" s="57"/>
      <c r="F40" s="57"/>
      <c r="G40" s="57"/>
      <c r="H40" s="57"/>
      <c r="I40" s="57"/>
      <c r="J40" s="57"/>
      <c r="K40" s="57"/>
      <c r="L40" s="57"/>
      <c r="M40" s="57"/>
      <c r="N40" s="57"/>
      <c r="O40" s="57"/>
      <c r="P40" s="57"/>
      <c r="Q40" s="57"/>
      <c r="R40" s="57"/>
    </row>
    <row r="41" spans="1:18" x14ac:dyDescent="0.55000000000000004">
      <c r="A41" s="57"/>
      <c r="B41" s="57"/>
      <c r="C41" s="57"/>
      <c r="D41" s="57"/>
      <c r="E41" s="57"/>
      <c r="F41" s="57"/>
      <c r="G41" s="57"/>
      <c r="H41" s="57"/>
      <c r="I41" s="57"/>
      <c r="J41" s="57"/>
      <c r="K41" s="57"/>
      <c r="L41" s="57"/>
      <c r="M41" s="57"/>
      <c r="N41" s="57"/>
      <c r="O41" s="57"/>
      <c r="P41" s="57"/>
      <c r="Q41" s="57"/>
      <c r="R41" s="57"/>
    </row>
    <row r="42" spans="1:18" x14ac:dyDescent="0.55000000000000004">
      <c r="A42" s="57"/>
      <c r="B42" s="57"/>
      <c r="C42" s="57"/>
      <c r="D42" s="57"/>
      <c r="E42" s="57"/>
      <c r="F42" s="57"/>
      <c r="G42" s="57"/>
      <c r="H42" s="57"/>
      <c r="I42" s="57"/>
      <c r="J42" s="57"/>
      <c r="K42" s="57"/>
      <c r="L42" s="57"/>
      <c r="M42" s="57"/>
      <c r="N42" s="57"/>
      <c r="O42" s="57"/>
      <c r="P42" s="57"/>
      <c r="Q42" s="57"/>
      <c r="R42" s="57"/>
    </row>
    <row r="43" spans="1:18" x14ac:dyDescent="0.55000000000000004">
      <c r="A43" s="57"/>
      <c r="B43" s="57"/>
      <c r="C43" s="57"/>
      <c r="D43" s="57"/>
      <c r="E43" s="57"/>
      <c r="F43" s="57"/>
      <c r="G43" s="57"/>
      <c r="H43" s="57"/>
      <c r="I43" s="57"/>
      <c r="J43" s="57"/>
      <c r="K43" s="57"/>
      <c r="L43" s="57"/>
      <c r="M43" s="57"/>
      <c r="N43" s="57"/>
      <c r="O43" s="57"/>
      <c r="P43" s="57"/>
      <c r="Q43" s="57"/>
      <c r="R43" s="57"/>
    </row>
    <row r="44" spans="1:18" x14ac:dyDescent="0.55000000000000004">
      <c r="A44" s="57"/>
      <c r="B44" s="57"/>
      <c r="C44" s="57"/>
      <c r="D44" s="57"/>
      <c r="E44" s="57"/>
      <c r="F44" s="57"/>
      <c r="G44" s="57"/>
      <c r="H44" s="57"/>
      <c r="I44" s="57"/>
      <c r="J44" s="57"/>
      <c r="K44" s="57"/>
      <c r="L44" s="57"/>
      <c r="M44" s="57"/>
      <c r="N44" s="57"/>
      <c r="O44" s="57"/>
      <c r="P44" s="57"/>
      <c r="Q44" s="57"/>
      <c r="R44" s="57"/>
    </row>
    <row r="45" spans="1:18" x14ac:dyDescent="0.55000000000000004">
      <c r="A45" s="57"/>
      <c r="B45" s="57"/>
      <c r="C45" s="57"/>
      <c r="D45" s="57"/>
      <c r="E45" s="57"/>
      <c r="F45" s="57"/>
      <c r="G45" s="57"/>
      <c r="H45" s="57"/>
      <c r="I45" s="57"/>
      <c r="J45" s="57"/>
      <c r="K45" s="57"/>
      <c r="L45" s="57"/>
      <c r="M45" s="57"/>
      <c r="N45" s="57"/>
      <c r="O45" s="57"/>
      <c r="P45" s="57"/>
      <c r="Q45" s="57"/>
      <c r="R45" s="57"/>
    </row>
    <row r="46" spans="1:18" x14ac:dyDescent="0.55000000000000004">
      <c r="A46" s="57"/>
      <c r="B46" s="57"/>
      <c r="C46" s="57"/>
      <c r="D46" s="57"/>
      <c r="E46" s="57"/>
      <c r="F46" s="57"/>
      <c r="G46" s="57"/>
      <c r="H46" s="57"/>
      <c r="I46" s="57"/>
      <c r="J46" s="57"/>
      <c r="K46" s="57"/>
      <c r="L46" s="57"/>
      <c r="M46" s="57"/>
      <c r="N46" s="57"/>
      <c r="O46" s="57"/>
      <c r="P46" s="57"/>
      <c r="Q46" s="57"/>
      <c r="R46" s="57"/>
    </row>
    <row r="47" spans="1:18" x14ac:dyDescent="0.55000000000000004">
      <c r="A47" s="57"/>
      <c r="B47" s="57"/>
      <c r="C47" s="57"/>
      <c r="D47" s="57"/>
      <c r="E47" s="57"/>
      <c r="F47" s="57"/>
      <c r="G47" s="57"/>
      <c r="H47" s="57"/>
      <c r="I47" s="57"/>
      <c r="J47" s="57"/>
      <c r="K47" s="57"/>
      <c r="L47" s="57"/>
      <c r="M47" s="57"/>
      <c r="N47" s="57"/>
      <c r="O47" s="57"/>
      <c r="P47" s="57"/>
      <c r="Q47" s="57"/>
      <c r="R47" s="57"/>
    </row>
    <row r="48" spans="1:18" x14ac:dyDescent="0.55000000000000004">
      <c r="A48" s="57"/>
      <c r="B48" s="57"/>
      <c r="C48" s="57"/>
      <c r="D48" s="57"/>
      <c r="E48" s="57"/>
      <c r="F48" s="57"/>
      <c r="G48" s="57"/>
      <c r="H48" s="57"/>
      <c r="I48" s="57"/>
      <c r="J48" s="57"/>
      <c r="K48" s="57"/>
      <c r="L48" s="57"/>
      <c r="M48" s="57"/>
      <c r="N48" s="57"/>
      <c r="O48" s="57"/>
      <c r="P48" s="57"/>
      <c r="Q48" s="57"/>
      <c r="R48" s="57"/>
    </row>
    <row r="49" spans="1:18" x14ac:dyDescent="0.55000000000000004">
      <c r="A49" s="57"/>
      <c r="B49" s="57"/>
      <c r="C49" s="57"/>
      <c r="D49" s="57"/>
      <c r="E49" s="57"/>
      <c r="F49" s="57"/>
      <c r="G49" s="57"/>
      <c r="H49" s="57"/>
      <c r="I49" s="57"/>
      <c r="J49" s="57"/>
      <c r="K49" s="57"/>
      <c r="L49" s="57"/>
      <c r="M49" s="57"/>
      <c r="N49" s="57"/>
      <c r="O49" s="57"/>
      <c r="P49" s="57"/>
      <c r="Q49" s="57"/>
      <c r="R49" s="57"/>
    </row>
    <row r="50" spans="1:18" x14ac:dyDescent="0.55000000000000004">
      <c r="A50" s="57"/>
      <c r="B50" s="57"/>
      <c r="C50" s="57"/>
      <c r="D50" s="57"/>
      <c r="E50" s="57"/>
      <c r="F50" s="57"/>
      <c r="G50" s="57"/>
      <c r="H50" s="57"/>
      <c r="I50" s="57"/>
      <c r="J50" s="57"/>
      <c r="K50" s="57"/>
      <c r="L50" s="57"/>
      <c r="M50" s="57"/>
      <c r="N50" s="57"/>
      <c r="O50" s="57"/>
      <c r="P50" s="57"/>
      <c r="Q50" s="57"/>
      <c r="R50" s="57"/>
    </row>
    <row r="51" spans="1:18" x14ac:dyDescent="0.55000000000000004">
      <c r="A51" s="57"/>
      <c r="B51" s="57"/>
      <c r="C51" s="57"/>
      <c r="D51" s="57"/>
      <c r="E51" s="57"/>
      <c r="F51" s="57"/>
      <c r="G51" s="57"/>
      <c r="H51" s="57"/>
      <c r="I51" s="57"/>
      <c r="J51" s="57"/>
      <c r="K51" s="57"/>
      <c r="L51" s="57"/>
      <c r="M51" s="57"/>
      <c r="N51" s="57"/>
      <c r="O51" s="57"/>
      <c r="P51" s="57"/>
      <c r="Q51" s="57"/>
      <c r="R51" s="57"/>
    </row>
    <row r="52" spans="1:18" x14ac:dyDescent="0.55000000000000004">
      <c r="A52" s="57"/>
      <c r="B52" s="57"/>
      <c r="C52" s="57"/>
      <c r="D52" s="57"/>
      <c r="E52" s="57"/>
      <c r="F52" s="57"/>
      <c r="G52" s="57"/>
      <c r="H52" s="57"/>
      <c r="I52" s="57"/>
      <c r="J52" s="57"/>
      <c r="K52" s="57"/>
      <c r="L52" s="57"/>
      <c r="M52" s="57"/>
      <c r="N52" s="57"/>
      <c r="O52" s="57"/>
      <c r="P52" s="57"/>
      <c r="Q52" s="57"/>
      <c r="R52" s="57"/>
    </row>
    <row r="53" spans="1:18" x14ac:dyDescent="0.55000000000000004">
      <c r="A53" s="57"/>
      <c r="B53" s="57"/>
      <c r="C53" s="57"/>
      <c r="D53" s="57"/>
      <c r="E53" s="57"/>
      <c r="F53" s="57"/>
      <c r="G53" s="57"/>
      <c r="H53" s="57"/>
      <c r="I53" s="57"/>
      <c r="J53" s="57"/>
      <c r="K53" s="57"/>
      <c r="L53" s="57"/>
      <c r="M53" s="57"/>
      <c r="N53" s="57"/>
      <c r="O53" s="57"/>
      <c r="P53" s="57"/>
      <c r="Q53" s="57"/>
      <c r="R53" s="57"/>
    </row>
  </sheetData>
  <mergeCells count="2">
    <mergeCell ref="A32:R53"/>
    <mergeCell ref="A3:R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F434-5010-45BA-A10E-E90FDBBE55C9}">
  <dimension ref="A1:R28"/>
  <sheetViews>
    <sheetView topLeftCell="A6" workbookViewId="0">
      <selection activeCell="A7" sqref="A7:R28"/>
    </sheetView>
  </sheetViews>
  <sheetFormatPr defaultRowHeight="14.4" x14ac:dyDescent="0.55000000000000004"/>
  <sheetData>
    <row r="1" spans="1:18" x14ac:dyDescent="0.55000000000000004">
      <c r="A1" s="63"/>
      <c r="B1" s="63"/>
      <c r="C1" s="63"/>
      <c r="D1" s="63"/>
      <c r="E1" s="63"/>
      <c r="F1" s="63"/>
      <c r="G1" s="63"/>
      <c r="H1" s="63"/>
      <c r="I1" s="63"/>
      <c r="J1" s="63"/>
      <c r="K1" s="63"/>
      <c r="L1" s="63"/>
      <c r="M1" s="63"/>
      <c r="N1" s="63"/>
      <c r="O1" s="63"/>
      <c r="P1" s="63"/>
      <c r="Q1" s="63"/>
      <c r="R1" s="63"/>
    </row>
    <row r="2" spans="1:18" x14ac:dyDescent="0.55000000000000004">
      <c r="A2" s="63"/>
      <c r="B2" s="63"/>
      <c r="C2" s="63"/>
      <c r="D2" s="63"/>
      <c r="E2" s="63"/>
      <c r="F2" s="63"/>
      <c r="G2" s="63"/>
      <c r="H2" s="63"/>
      <c r="I2" s="63"/>
      <c r="J2" s="63"/>
      <c r="K2" s="63"/>
      <c r="L2" s="63"/>
      <c r="M2" s="63"/>
      <c r="N2" s="63"/>
      <c r="O2" s="63"/>
      <c r="P2" s="63"/>
      <c r="Q2" s="63"/>
      <c r="R2" s="63"/>
    </row>
    <row r="4" spans="1:18" x14ac:dyDescent="0.55000000000000004">
      <c r="A4" s="63" t="s">
        <v>376</v>
      </c>
      <c r="B4" s="63"/>
      <c r="C4" s="63"/>
      <c r="D4" s="63"/>
      <c r="E4" s="63"/>
      <c r="F4" s="63"/>
      <c r="G4" s="63"/>
      <c r="H4" s="63"/>
      <c r="I4" s="63"/>
      <c r="J4" s="63"/>
      <c r="K4" s="63"/>
      <c r="L4" s="63"/>
      <c r="M4" s="63"/>
      <c r="N4" s="63"/>
      <c r="O4" s="63"/>
      <c r="P4" s="63"/>
      <c r="Q4" s="63"/>
      <c r="R4" s="63"/>
    </row>
    <row r="5" spans="1:18" x14ac:dyDescent="0.55000000000000004">
      <c r="A5" s="63"/>
      <c r="B5" s="63"/>
      <c r="C5" s="63"/>
      <c r="D5" s="63"/>
      <c r="E5" s="63"/>
      <c r="F5" s="63"/>
      <c r="G5" s="63"/>
      <c r="H5" s="63"/>
      <c r="I5" s="63"/>
      <c r="J5" s="63"/>
      <c r="K5" s="63"/>
      <c r="L5" s="63"/>
      <c r="M5" s="63"/>
      <c r="N5" s="63"/>
      <c r="O5" s="63"/>
      <c r="P5" s="63"/>
      <c r="Q5" s="63"/>
      <c r="R5" s="63"/>
    </row>
    <row r="7" spans="1:18" x14ac:dyDescent="0.55000000000000004">
      <c r="A7" s="57" t="s">
        <v>442</v>
      </c>
      <c r="B7" s="57"/>
      <c r="C7" s="57"/>
      <c r="D7" s="57"/>
      <c r="E7" s="57"/>
      <c r="F7" s="57"/>
      <c r="G7" s="57"/>
      <c r="H7" s="57"/>
      <c r="I7" s="57"/>
      <c r="J7" s="57"/>
      <c r="K7" s="57"/>
      <c r="L7" s="57"/>
      <c r="M7" s="57"/>
      <c r="N7" s="57"/>
      <c r="O7" s="57"/>
      <c r="P7" s="57"/>
      <c r="Q7" s="57"/>
      <c r="R7" s="57"/>
    </row>
    <row r="8" spans="1:18" x14ac:dyDescent="0.55000000000000004">
      <c r="A8" s="57"/>
      <c r="B8" s="57"/>
      <c r="C8" s="57"/>
      <c r="D8" s="57"/>
      <c r="E8" s="57"/>
      <c r="F8" s="57"/>
      <c r="G8" s="57"/>
      <c r="H8" s="57"/>
      <c r="I8" s="57"/>
      <c r="J8" s="57"/>
      <c r="K8" s="57"/>
      <c r="L8" s="57"/>
      <c r="M8" s="57"/>
      <c r="N8" s="57"/>
      <c r="O8" s="57"/>
      <c r="P8" s="57"/>
      <c r="Q8" s="57"/>
      <c r="R8" s="57"/>
    </row>
    <row r="9" spans="1:18" x14ac:dyDescent="0.55000000000000004">
      <c r="A9" s="57"/>
      <c r="B9" s="57"/>
      <c r="C9" s="57"/>
      <c r="D9" s="57"/>
      <c r="E9" s="57"/>
      <c r="F9" s="57"/>
      <c r="G9" s="57"/>
      <c r="H9" s="57"/>
      <c r="I9" s="57"/>
      <c r="J9" s="57"/>
      <c r="K9" s="57"/>
      <c r="L9" s="57"/>
      <c r="M9" s="57"/>
      <c r="N9" s="57"/>
      <c r="O9" s="57"/>
      <c r="P9" s="57"/>
      <c r="Q9" s="57"/>
      <c r="R9" s="57"/>
    </row>
    <row r="10" spans="1:18" x14ac:dyDescent="0.55000000000000004">
      <c r="A10" s="57"/>
      <c r="B10" s="57"/>
      <c r="C10" s="57"/>
      <c r="D10" s="57"/>
      <c r="E10" s="57"/>
      <c r="F10" s="57"/>
      <c r="G10" s="57"/>
      <c r="H10" s="57"/>
      <c r="I10" s="57"/>
      <c r="J10" s="57"/>
      <c r="K10" s="57"/>
      <c r="L10" s="57"/>
      <c r="M10" s="57"/>
      <c r="N10" s="57"/>
      <c r="O10" s="57"/>
      <c r="P10" s="57"/>
      <c r="Q10" s="57"/>
      <c r="R10" s="57"/>
    </row>
    <row r="11" spans="1:18" x14ac:dyDescent="0.55000000000000004">
      <c r="A11" s="57"/>
      <c r="B11" s="57"/>
      <c r="C11" s="57"/>
      <c r="D11" s="57"/>
      <c r="E11" s="57"/>
      <c r="F11" s="57"/>
      <c r="G11" s="57"/>
      <c r="H11" s="57"/>
      <c r="I11" s="57"/>
      <c r="J11" s="57"/>
      <c r="K11" s="57"/>
      <c r="L11" s="57"/>
      <c r="M11" s="57"/>
      <c r="N11" s="57"/>
      <c r="O11" s="57"/>
      <c r="P11" s="57"/>
      <c r="Q11" s="57"/>
      <c r="R11" s="57"/>
    </row>
    <row r="12" spans="1:18" x14ac:dyDescent="0.55000000000000004">
      <c r="A12" s="57"/>
      <c r="B12" s="57"/>
      <c r="C12" s="57"/>
      <c r="D12" s="57"/>
      <c r="E12" s="57"/>
      <c r="F12" s="57"/>
      <c r="G12" s="57"/>
      <c r="H12" s="57"/>
      <c r="I12" s="57"/>
      <c r="J12" s="57"/>
      <c r="K12" s="57"/>
      <c r="L12" s="57"/>
      <c r="M12" s="57"/>
      <c r="N12" s="57"/>
      <c r="O12" s="57"/>
      <c r="P12" s="57"/>
      <c r="Q12" s="57"/>
      <c r="R12" s="57"/>
    </row>
    <row r="13" spans="1:18" x14ac:dyDescent="0.55000000000000004">
      <c r="A13" s="57"/>
      <c r="B13" s="57"/>
      <c r="C13" s="57"/>
      <c r="D13" s="57"/>
      <c r="E13" s="57"/>
      <c r="F13" s="57"/>
      <c r="G13" s="57"/>
      <c r="H13" s="57"/>
      <c r="I13" s="57"/>
      <c r="J13" s="57"/>
      <c r="K13" s="57"/>
      <c r="L13" s="57"/>
      <c r="M13" s="57"/>
      <c r="N13" s="57"/>
      <c r="O13" s="57"/>
      <c r="P13" s="57"/>
      <c r="Q13" s="57"/>
      <c r="R13" s="57"/>
    </row>
    <row r="14" spans="1:18" x14ac:dyDescent="0.55000000000000004">
      <c r="A14" s="57"/>
      <c r="B14" s="57"/>
      <c r="C14" s="57"/>
      <c r="D14" s="57"/>
      <c r="E14" s="57"/>
      <c r="F14" s="57"/>
      <c r="G14" s="57"/>
      <c r="H14" s="57"/>
      <c r="I14" s="57"/>
      <c r="J14" s="57"/>
      <c r="K14" s="57"/>
      <c r="L14" s="57"/>
      <c r="M14" s="57"/>
      <c r="N14" s="57"/>
      <c r="O14" s="57"/>
      <c r="P14" s="57"/>
      <c r="Q14" s="57"/>
      <c r="R14" s="57"/>
    </row>
    <row r="15" spans="1:18" x14ac:dyDescent="0.55000000000000004">
      <c r="A15" s="57"/>
      <c r="B15" s="57"/>
      <c r="C15" s="57"/>
      <c r="D15" s="57"/>
      <c r="E15" s="57"/>
      <c r="F15" s="57"/>
      <c r="G15" s="57"/>
      <c r="H15" s="57"/>
      <c r="I15" s="57"/>
      <c r="J15" s="57"/>
      <c r="K15" s="57"/>
      <c r="L15" s="57"/>
      <c r="M15" s="57"/>
      <c r="N15" s="57"/>
      <c r="O15" s="57"/>
      <c r="P15" s="57"/>
      <c r="Q15" s="57"/>
      <c r="R15" s="57"/>
    </row>
    <row r="16" spans="1:18" x14ac:dyDescent="0.55000000000000004">
      <c r="A16" s="57"/>
      <c r="B16" s="57"/>
      <c r="C16" s="57"/>
      <c r="D16" s="57"/>
      <c r="E16" s="57"/>
      <c r="F16" s="57"/>
      <c r="G16" s="57"/>
      <c r="H16" s="57"/>
      <c r="I16" s="57"/>
      <c r="J16" s="57"/>
      <c r="K16" s="57"/>
      <c r="L16" s="57"/>
      <c r="M16" s="57"/>
      <c r="N16" s="57"/>
      <c r="O16" s="57"/>
      <c r="P16" s="57"/>
      <c r="Q16" s="57"/>
      <c r="R16" s="57"/>
    </row>
    <row r="17" spans="1:18" x14ac:dyDescent="0.55000000000000004">
      <c r="A17" s="57"/>
      <c r="B17" s="57"/>
      <c r="C17" s="57"/>
      <c r="D17" s="57"/>
      <c r="E17" s="57"/>
      <c r="F17" s="57"/>
      <c r="G17" s="57"/>
      <c r="H17" s="57"/>
      <c r="I17" s="57"/>
      <c r="J17" s="57"/>
      <c r="K17" s="57"/>
      <c r="L17" s="57"/>
      <c r="M17" s="57"/>
      <c r="N17" s="57"/>
      <c r="O17" s="57"/>
      <c r="P17" s="57"/>
      <c r="Q17" s="57"/>
      <c r="R17" s="57"/>
    </row>
    <row r="18" spans="1:18" x14ac:dyDescent="0.55000000000000004">
      <c r="A18" s="57"/>
      <c r="B18" s="57"/>
      <c r="C18" s="57"/>
      <c r="D18" s="57"/>
      <c r="E18" s="57"/>
      <c r="F18" s="57"/>
      <c r="G18" s="57"/>
      <c r="H18" s="57"/>
      <c r="I18" s="57"/>
      <c r="J18" s="57"/>
      <c r="K18" s="57"/>
      <c r="L18" s="57"/>
      <c r="M18" s="57"/>
      <c r="N18" s="57"/>
      <c r="O18" s="57"/>
      <c r="P18" s="57"/>
      <c r="Q18" s="57"/>
      <c r="R18" s="57"/>
    </row>
    <row r="19" spans="1:18" x14ac:dyDescent="0.55000000000000004">
      <c r="A19" s="57"/>
      <c r="B19" s="57"/>
      <c r="C19" s="57"/>
      <c r="D19" s="57"/>
      <c r="E19" s="57"/>
      <c r="F19" s="57"/>
      <c r="G19" s="57"/>
      <c r="H19" s="57"/>
      <c r="I19" s="57"/>
      <c r="J19" s="57"/>
      <c r="K19" s="57"/>
      <c r="L19" s="57"/>
      <c r="M19" s="57"/>
      <c r="N19" s="57"/>
      <c r="O19" s="57"/>
      <c r="P19" s="57"/>
      <c r="Q19" s="57"/>
      <c r="R19" s="57"/>
    </row>
    <row r="20" spans="1:18" x14ac:dyDescent="0.55000000000000004">
      <c r="A20" s="57"/>
      <c r="B20" s="57"/>
      <c r="C20" s="57"/>
      <c r="D20" s="57"/>
      <c r="E20" s="57"/>
      <c r="F20" s="57"/>
      <c r="G20" s="57"/>
      <c r="H20" s="57"/>
      <c r="I20" s="57"/>
      <c r="J20" s="57"/>
      <c r="K20" s="57"/>
      <c r="L20" s="57"/>
      <c r="M20" s="57"/>
      <c r="N20" s="57"/>
      <c r="O20" s="57"/>
      <c r="P20" s="57"/>
      <c r="Q20" s="57"/>
      <c r="R20" s="57"/>
    </row>
    <row r="21" spans="1:18" x14ac:dyDescent="0.55000000000000004">
      <c r="A21" s="57"/>
      <c r="B21" s="57"/>
      <c r="C21" s="57"/>
      <c r="D21" s="57"/>
      <c r="E21" s="57"/>
      <c r="F21" s="57"/>
      <c r="G21" s="57"/>
      <c r="H21" s="57"/>
      <c r="I21" s="57"/>
      <c r="J21" s="57"/>
      <c r="K21" s="57"/>
      <c r="L21" s="57"/>
      <c r="M21" s="57"/>
      <c r="N21" s="57"/>
      <c r="O21" s="57"/>
      <c r="P21" s="57"/>
      <c r="Q21" s="57"/>
      <c r="R21" s="57"/>
    </row>
    <row r="22" spans="1:18" x14ac:dyDescent="0.55000000000000004">
      <c r="A22" s="57"/>
      <c r="B22" s="57"/>
      <c r="C22" s="57"/>
      <c r="D22" s="57"/>
      <c r="E22" s="57"/>
      <c r="F22" s="57"/>
      <c r="G22" s="57"/>
      <c r="H22" s="57"/>
      <c r="I22" s="57"/>
      <c r="J22" s="57"/>
      <c r="K22" s="57"/>
      <c r="L22" s="57"/>
      <c r="M22" s="57"/>
      <c r="N22" s="57"/>
      <c r="O22" s="57"/>
      <c r="P22" s="57"/>
      <c r="Q22" s="57"/>
      <c r="R22" s="57"/>
    </row>
    <row r="23" spans="1:18" x14ac:dyDescent="0.55000000000000004">
      <c r="A23" s="57"/>
      <c r="B23" s="57"/>
      <c r="C23" s="57"/>
      <c r="D23" s="57"/>
      <c r="E23" s="57"/>
      <c r="F23" s="57"/>
      <c r="G23" s="57"/>
      <c r="H23" s="57"/>
      <c r="I23" s="57"/>
      <c r="J23" s="57"/>
      <c r="K23" s="57"/>
      <c r="L23" s="57"/>
      <c r="M23" s="57"/>
      <c r="N23" s="57"/>
      <c r="O23" s="57"/>
      <c r="P23" s="57"/>
      <c r="Q23" s="57"/>
      <c r="R23" s="57"/>
    </row>
    <row r="24" spans="1:18" x14ac:dyDescent="0.55000000000000004">
      <c r="A24" s="57"/>
      <c r="B24" s="57"/>
      <c r="C24" s="57"/>
      <c r="D24" s="57"/>
      <c r="E24" s="57"/>
      <c r="F24" s="57"/>
      <c r="G24" s="57"/>
      <c r="H24" s="57"/>
      <c r="I24" s="57"/>
      <c r="J24" s="57"/>
      <c r="K24" s="57"/>
      <c r="L24" s="57"/>
      <c r="M24" s="57"/>
      <c r="N24" s="57"/>
      <c r="O24" s="57"/>
      <c r="P24" s="57"/>
      <c r="Q24" s="57"/>
      <c r="R24" s="57"/>
    </row>
    <row r="25" spans="1:18" x14ac:dyDescent="0.55000000000000004">
      <c r="A25" s="57"/>
      <c r="B25" s="57"/>
      <c r="C25" s="57"/>
      <c r="D25" s="57"/>
      <c r="E25" s="57"/>
      <c r="F25" s="57"/>
      <c r="G25" s="57"/>
      <c r="H25" s="57"/>
      <c r="I25" s="57"/>
      <c r="J25" s="57"/>
      <c r="K25" s="57"/>
      <c r="L25" s="57"/>
      <c r="M25" s="57"/>
      <c r="N25" s="57"/>
      <c r="O25" s="57"/>
      <c r="P25" s="57"/>
      <c r="Q25" s="57"/>
      <c r="R25" s="57"/>
    </row>
    <row r="26" spans="1:18" x14ac:dyDescent="0.55000000000000004">
      <c r="A26" s="57"/>
      <c r="B26" s="57"/>
      <c r="C26" s="57"/>
      <c r="D26" s="57"/>
      <c r="E26" s="57"/>
      <c r="F26" s="57"/>
      <c r="G26" s="57"/>
      <c r="H26" s="57"/>
      <c r="I26" s="57"/>
      <c r="J26" s="57"/>
      <c r="K26" s="57"/>
      <c r="L26" s="57"/>
      <c r="M26" s="57"/>
      <c r="N26" s="57"/>
      <c r="O26" s="57"/>
      <c r="P26" s="57"/>
      <c r="Q26" s="57"/>
      <c r="R26" s="57"/>
    </row>
    <row r="27" spans="1:18" x14ac:dyDescent="0.55000000000000004">
      <c r="A27" s="57"/>
      <c r="B27" s="57"/>
      <c r="C27" s="57"/>
      <c r="D27" s="57"/>
      <c r="E27" s="57"/>
      <c r="F27" s="57"/>
      <c r="G27" s="57"/>
      <c r="H27" s="57"/>
      <c r="I27" s="57"/>
      <c r="J27" s="57"/>
      <c r="K27" s="57"/>
      <c r="L27" s="57"/>
      <c r="M27" s="57"/>
      <c r="N27" s="57"/>
      <c r="O27" s="57"/>
      <c r="P27" s="57"/>
      <c r="Q27" s="57"/>
      <c r="R27" s="57"/>
    </row>
    <row r="28" spans="1:18" x14ac:dyDescent="0.55000000000000004">
      <c r="A28" s="57"/>
      <c r="B28" s="57"/>
      <c r="C28" s="57"/>
      <c r="D28" s="57"/>
      <c r="E28" s="57"/>
      <c r="F28" s="57"/>
      <c r="G28" s="57"/>
      <c r="H28" s="57"/>
      <c r="I28" s="57"/>
      <c r="J28" s="57"/>
      <c r="K28" s="57"/>
      <c r="L28" s="57"/>
      <c r="M28" s="57"/>
      <c r="N28" s="57"/>
      <c r="O28" s="57"/>
      <c r="P28" s="57"/>
      <c r="Q28" s="57"/>
      <c r="R28" s="57"/>
    </row>
  </sheetData>
  <mergeCells count="3">
    <mergeCell ref="A1:R2"/>
    <mergeCell ref="A4:R5"/>
    <mergeCell ref="A7:R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F4DC5-FF8D-46F4-BED2-386BCC34A6F9}">
  <sheetPr>
    <tabColor rgb="FF00B050"/>
  </sheetPr>
  <dimension ref="A1:AO77"/>
  <sheetViews>
    <sheetView topLeftCell="A69" zoomScale="47" zoomScaleNormal="85" workbookViewId="0">
      <selection activeCell="E29" sqref="E29"/>
    </sheetView>
  </sheetViews>
  <sheetFormatPr defaultRowHeight="14.4" x14ac:dyDescent="0.55000000000000004"/>
  <cols>
    <col min="1" max="1" width="8.89453125" customWidth="1"/>
    <col min="2" max="2" width="21.62890625" customWidth="1"/>
    <col min="3" max="3" width="16.7890625" customWidth="1"/>
    <col min="4" max="4" width="15.1015625" customWidth="1"/>
    <col min="5" max="5" width="16.1015625" customWidth="1"/>
    <col min="6" max="6" width="11" customWidth="1"/>
    <col min="7" max="7" width="8.89453125" bestFit="1" customWidth="1"/>
    <col min="8" max="8" width="11.47265625" bestFit="1" customWidth="1"/>
    <col min="9" max="9" width="10.83984375" customWidth="1"/>
    <col min="10" max="10" width="16.41796875" customWidth="1"/>
    <col min="11" max="11" width="30.20703125" customWidth="1"/>
    <col min="12" max="12" width="16.578125" bestFit="1" customWidth="1"/>
    <col min="13" max="13" width="16.47265625" customWidth="1"/>
    <col min="14" max="14" width="9.3671875" bestFit="1" customWidth="1"/>
    <col min="15" max="15" width="13" customWidth="1"/>
    <col min="16" max="16" width="16.3671875" customWidth="1"/>
  </cols>
  <sheetData>
    <row r="1" spans="1:41" x14ac:dyDescent="0.55000000000000004">
      <c r="A1" t="s">
        <v>16</v>
      </c>
    </row>
    <row r="2" spans="1:41" x14ac:dyDescent="0.55000000000000004">
      <c r="A2" t="s">
        <v>14</v>
      </c>
    </row>
    <row r="3" spans="1:41" x14ac:dyDescent="0.55000000000000004">
      <c r="A3" s="3" t="s">
        <v>18</v>
      </c>
    </row>
    <row r="4" spans="1:41" x14ac:dyDescent="0.55000000000000004">
      <c r="A4" s="3" t="s">
        <v>22</v>
      </c>
    </row>
    <row r="5" spans="1:41" x14ac:dyDescent="0.55000000000000004">
      <c r="A5" s="3"/>
      <c r="B5" t="s">
        <v>19</v>
      </c>
    </row>
    <row r="6" spans="1:41" ht="15" customHeight="1" x14ac:dyDescent="0.55000000000000004">
      <c r="B6" t="s">
        <v>238</v>
      </c>
    </row>
    <row r="7" spans="1:41" ht="15" customHeight="1" x14ac:dyDescent="0.55000000000000004">
      <c r="B7" t="s">
        <v>20</v>
      </c>
    </row>
    <row r="8" spans="1:41" ht="15" customHeight="1" x14ac:dyDescent="0.55000000000000004">
      <c r="B8" t="s">
        <v>21</v>
      </c>
    </row>
    <row r="9" spans="1:41" ht="15" customHeight="1" x14ac:dyDescent="0.55000000000000004">
      <c r="A9" s="3" t="s">
        <v>23</v>
      </c>
    </row>
    <row r="11" spans="1:41" ht="43.2" x14ac:dyDescent="0.55000000000000004">
      <c r="B11" t="s">
        <v>17</v>
      </c>
      <c r="C11" s="4" t="s">
        <v>15</v>
      </c>
      <c r="D11" s="4" t="s">
        <v>13</v>
      </c>
      <c r="E11" s="4" t="s">
        <v>10</v>
      </c>
      <c r="F11" s="4" t="s">
        <v>11</v>
      </c>
      <c r="G11" s="4" t="s">
        <v>12</v>
      </c>
      <c r="H11" s="65" t="s">
        <v>391</v>
      </c>
      <c r="I11" s="65" t="s">
        <v>378</v>
      </c>
      <c r="J11" s="65" t="s">
        <v>379</v>
      </c>
      <c r="K11" s="65" t="s">
        <v>378</v>
      </c>
      <c r="L11" s="65" t="s">
        <v>380</v>
      </c>
      <c r="M11" s="65" t="s">
        <v>378</v>
      </c>
      <c r="N11" s="65" t="s">
        <v>381</v>
      </c>
      <c r="O11" s="66" t="s">
        <v>378</v>
      </c>
      <c r="AM11" s="71" t="s">
        <v>389</v>
      </c>
      <c r="AN11" s="72"/>
      <c r="AO11" s="72"/>
    </row>
    <row r="12" spans="1:41" x14ac:dyDescent="0.55000000000000004">
      <c r="B12">
        <v>1</v>
      </c>
      <c r="C12" s="10">
        <v>44948</v>
      </c>
      <c r="D12" s="6">
        <v>45.712798731434759</v>
      </c>
      <c r="E12" s="6">
        <v>2988.6</v>
      </c>
      <c r="F12" s="6">
        <v>4630</v>
      </c>
      <c r="G12" s="6">
        <v>234</v>
      </c>
      <c r="H12" s="68">
        <f>$S$30/(1+$T$30*EXP(-$U$30*B12))</f>
        <v>45.715094073611205</v>
      </c>
      <c r="I12" s="64">
        <f>(H12-D12)^2</f>
        <v>5.2685957069698325E-6</v>
      </c>
      <c r="J12" s="67">
        <f>$AL$29/(1+$AM$29*EXP(-$AN$29*B12))</f>
        <v>3024.4403878095395</v>
      </c>
      <c r="K12" s="64">
        <f>(J12-E12)^2</f>
        <v>1284.5333983381952</v>
      </c>
      <c r="L12" s="68">
        <f>$AM$13/(1+$AN$13*EXP(-$AO$13*B12))</f>
        <v>4723.0679475915958</v>
      </c>
      <c r="M12" s="68">
        <f>(L12-F12)^2</f>
        <v>8661.6428689120294</v>
      </c>
      <c r="N12" s="68">
        <f>$AD$46/(1+$AE$46*EXP(-$AF$46*B12))</f>
        <v>425.70894365399579</v>
      </c>
      <c r="O12" s="64">
        <f>(N12-G12)^2</f>
        <v>36752.319076930929</v>
      </c>
      <c r="AM12" s="71" t="s">
        <v>383</v>
      </c>
      <c r="AN12" s="71" t="s">
        <v>384</v>
      </c>
      <c r="AO12" s="71" t="s">
        <v>385</v>
      </c>
    </row>
    <row r="13" spans="1:41" x14ac:dyDescent="0.55000000000000004">
      <c r="B13">
        <v>2</v>
      </c>
      <c r="C13" s="10">
        <v>44979</v>
      </c>
      <c r="D13" s="6">
        <v>72.350617798433547</v>
      </c>
      <c r="E13" s="6">
        <v>3071.2</v>
      </c>
      <c r="F13" s="6">
        <v>4900</v>
      </c>
      <c r="G13" s="6">
        <v>301</v>
      </c>
      <c r="H13" s="68">
        <f t="shared" ref="H13:H32" si="0">$S$30/(1+$T$30*EXP(-$U$30*B13))</f>
        <v>72.353424852927844</v>
      </c>
      <c r="I13" s="64">
        <f t="shared" ref="I13:I28" si="1">(H13-D13)^2</f>
        <v>7.8795549339571682E-6</v>
      </c>
      <c r="J13" s="67">
        <f t="shared" ref="J13:J32" si="2">$AL$29/(1+$AM$29*EXP(-$AN$29*B13))</f>
        <v>3070.0964405696277</v>
      </c>
      <c r="K13" s="64">
        <f t="shared" ref="K13:K28" si="3">(J13-E13)^2</f>
        <v>1.2178434163632279</v>
      </c>
      <c r="L13" s="68">
        <f t="shared" ref="L13:L32" si="4">$AM$13/(1+$AN$13*EXP(-$AO$13*B13))</f>
        <v>4928.3314870079048</v>
      </c>
      <c r="M13" s="68">
        <f t="shared" ref="M13:M28" si="5">(L13-F13)^2</f>
        <v>802.67315607907835</v>
      </c>
      <c r="N13" s="68">
        <f t="shared" ref="N13:N32" si="6">$AD$46/(1+$AE$46*EXP(-$AF$46*B13))</f>
        <v>552.00347024118798</v>
      </c>
      <c r="O13" s="64">
        <f t="shared" ref="O13:O28" si="7">(N13-G13)^2</f>
        <v>63002.742073118941</v>
      </c>
      <c r="AM13" s="72">
        <v>10796.669584952882</v>
      </c>
      <c r="AN13" s="72">
        <v>1.38876577163263</v>
      </c>
      <c r="AO13" s="72">
        <v>7.6922216381079753E-2</v>
      </c>
    </row>
    <row r="14" spans="1:41" x14ac:dyDescent="0.55000000000000004">
      <c r="B14">
        <v>3</v>
      </c>
      <c r="C14" s="10">
        <v>45007</v>
      </c>
      <c r="D14" s="6">
        <v>111.90056268960458</v>
      </c>
      <c r="E14" s="6">
        <v>3019.8</v>
      </c>
      <c r="F14" s="6">
        <v>5267</v>
      </c>
      <c r="G14" s="6">
        <v>403</v>
      </c>
      <c r="H14" s="68">
        <f t="shared" si="0"/>
        <v>111.90365468065458</v>
      </c>
      <c r="I14" s="64">
        <f t="shared" si="1"/>
        <v>9.560408653273362E-6</v>
      </c>
      <c r="J14" s="67">
        <f t="shared" si="2"/>
        <v>3113.9742379224422</v>
      </c>
      <c r="K14" s="64">
        <f t="shared" si="3"/>
        <v>8868.7870882727111</v>
      </c>
      <c r="L14" s="68">
        <f t="shared" si="4"/>
        <v>5134.9736529417196</v>
      </c>
      <c r="M14" s="68">
        <f t="shared" si="5"/>
        <v>17430.956317553508</v>
      </c>
      <c r="N14" s="68">
        <f t="shared" si="6"/>
        <v>712.99729340453439</v>
      </c>
      <c r="O14" s="64">
        <f t="shared" si="7"/>
        <v>96098.321918136979</v>
      </c>
      <c r="AM14" s="72"/>
      <c r="AN14" s="72"/>
      <c r="AO14" s="72"/>
    </row>
    <row r="15" spans="1:41" x14ac:dyDescent="0.55000000000000004">
      <c r="B15">
        <v>4</v>
      </c>
      <c r="C15" s="10">
        <v>45038</v>
      </c>
      <c r="D15" s="6">
        <v>167.40444913303236</v>
      </c>
      <c r="E15" s="6">
        <v>3621</v>
      </c>
      <c r="F15" s="6">
        <v>5400</v>
      </c>
      <c r="G15" s="6">
        <v>867</v>
      </c>
      <c r="H15" s="68">
        <f t="shared" si="0"/>
        <v>167.40732952911222</v>
      </c>
      <c r="I15" s="64">
        <f t="shared" si="1"/>
        <v>8.2966815768716611E-6</v>
      </c>
      <c r="J15" s="67">
        <f t="shared" si="2"/>
        <v>3156.0776163229007</v>
      </c>
      <c r="K15" s="64">
        <f t="shared" si="3"/>
        <v>216152.82284399596</v>
      </c>
      <c r="L15" s="68">
        <f t="shared" si="4"/>
        <v>5342.3923588067319</v>
      </c>
      <c r="M15" s="68">
        <f t="shared" si="5"/>
        <v>3318.6403238523239</v>
      </c>
      <c r="N15" s="68">
        <f t="shared" si="6"/>
        <v>916.42729300855558</v>
      </c>
      <c r="O15" s="64">
        <f t="shared" si="7"/>
        <v>2443.0572941536075</v>
      </c>
      <c r="AM15" s="72"/>
      <c r="AN15" s="72"/>
      <c r="AO15" s="72"/>
    </row>
    <row r="16" spans="1:41" x14ac:dyDescent="0.55000000000000004">
      <c r="B16">
        <v>5</v>
      </c>
      <c r="C16" s="10">
        <v>45068</v>
      </c>
      <c r="D16" s="6">
        <v>239.43850654016259</v>
      </c>
      <c r="E16" s="6">
        <v>3012</v>
      </c>
      <c r="F16" s="6">
        <v>5612</v>
      </c>
      <c r="G16" s="6">
        <v>1212</v>
      </c>
      <c r="H16" s="68">
        <f t="shared" si="0"/>
        <v>239.44047622833315</v>
      </c>
      <c r="I16" s="64">
        <f t="shared" si="1"/>
        <v>3.8796714892491688E-6</v>
      </c>
      <c r="J16" s="67">
        <f t="shared" si="2"/>
        <v>3196.4181828250198</v>
      </c>
      <c r="K16" s="64">
        <f t="shared" si="3"/>
        <v>34010.066156482433</v>
      </c>
      <c r="L16" s="68">
        <f t="shared" si="4"/>
        <v>5549.976390316463</v>
      </c>
      <c r="M16" s="68">
        <f t="shared" si="5"/>
        <v>3846.92815817574</v>
      </c>
      <c r="N16" s="68">
        <f t="shared" si="6"/>
        <v>1170.6420928116052</v>
      </c>
      <c r="O16" s="64">
        <f t="shared" si="7"/>
        <v>1710.4764870038821</v>
      </c>
      <c r="AM16" s="71" t="s">
        <v>386</v>
      </c>
      <c r="AN16" s="72"/>
      <c r="AO16" s="72"/>
    </row>
    <row r="17" spans="2:41" x14ac:dyDescent="0.55000000000000004">
      <c r="B17">
        <v>6</v>
      </c>
      <c r="C17" s="10">
        <v>45099</v>
      </c>
      <c r="D17" s="6">
        <v>323.99894775039195</v>
      </c>
      <c r="E17" s="6">
        <v>3159</v>
      </c>
      <c r="F17" s="6">
        <v>5714</v>
      </c>
      <c r="G17" s="6">
        <v>1489</v>
      </c>
      <c r="H17" s="68">
        <f t="shared" si="0"/>
        <v>323.99940761362802</v>
      </c>
      <c r="I17" s="64">
        <f t="shared" si="1"/>
        <v>2.11474195892399E-7</v>
      </c>
      <c r="J17" s="67">
        <f t="shared" si="2"/>
        <v>3235.0146036856518</v>
      </c>
      <c r="K17" s="64">
        <f t="shared" si="3"/>
        <v>5778.2199734867027</v>
      </c>
      <c r="L17" s="68">
        <f t="shared" si="4"/>
        <v>5757.1125832763009</v>
      </c>
      <c r="M17" s="68">
        <f t="shared" si="5"/>
        <v>1858.6948367559833</v>
      </c>
      <c r="N17" s="68">
        <f t="shared" si="6"/>
        <v>1483.9502796496015</v>
      </c>
      <c r="O17" s="64">
        <f t="shared" si="7"/>
        <v>25.499675617228771</v>
      </c>
      <c r="AM17" s="72" t="e">
        <f>SUM(#REF!)</f>
        <v>#REF!</v>
      </c>
      <c r="AN17" s="72"/>
      <c r="AO17" s="72"/>
    </row>
    <row r="18" spans="2:41" x14ac:dyDescent="0.55000000000000004">
      <c r="B18">
        <v>7</v>
      </c>
      <c r="C18" s="10">
        <v>45129</v>
      </c>
      <c r="D18" s="6">
        <v>412.31900905029426</v>
      </c>
      <c r="E18" s="6">
        <v>3126.2</v>
      </c>
      <c r="F18" s="6">
        <v>5923</v>
      </c>
      <c r="G18" s="6">
        <v>2021</v>
      </c>
      <c r="H18" s="68">
        <f t="shared" si="0"/>
        <v>412.31785137266274</v>
      </c>
      <c r="I18" s="64">
        <f t="shared" si="1"/>
        <v>1.3402174985008684E-6</v>
      </c>
      <c r="J18" s="67">
        <f t="shared" si="2"/>
        <v>3271.8918815161937</v>
      </c>
      <c r="K18" s="64">
        <f t="shared" si="3"/>
        <v>21226.124339728685</v>
      </c>
      <c r="L18" s="68">
        <f t="shared" si="4"/>
        <v>5963.1930500785602</v>
      </c>
      <c r="M18" s="68">
        <f t="shared" si="5"/>
        <v>1615.4812746176474</v>
      </c>
      <c r="N18" s="68">
        <f t="shared" si="6"/>
        <v>1863.5635569384269</v>
      </c>
      <c r="O18" s="64">
        <f t="shared" si="7"/>
        <v>24786.23360387994</v>
      </c>
      <c r="AM18" s="72"/>
      <c r="AN18" s="72"/>
      <c r="AO18" s="72"/>
    </row>
    <row r="19" spans="2:41" x14ac:dyDescent="0.55000000000000004">
      <c r="B19">
        <v>8</v>
      </c>
      <c r="C19" s="10">
        <v>45160</v>
      </c>
      <c r="D19" s="6">
        <v>493.99424788137514</v>
      </c>
      <c r="E19" s="6">
        <v>3798</v>
      </c>
      <c r="F19" s="6">
        <v>6245</v>
      </c>
      <c r="G19" s="6">
        <v>2478</v>
      </c>
      <c r="H19" s="68">
        <f t="shared" si="0"/>
        <v>493.99196458350417</v>
      </c>
      <c r="I19" s="64">
        <f t="shared" si="1"/>
        <v>5.2134491675960707E-6</v>
      </c>
      <c r="J19" s="67">
        <f t="shared" si="2"/>
        <v>3307.0806334793874</v>
      </c>
      <c r="K19" s="64">
        <f t="shared" si="3"/>
        <v>241001.82442499956</v>
      </c>
      <c r="L19" s="68">
        <f t="shared" si="4"/>
        <v>6167.6222745845043</v>
      </c>
      <c r="M19" s="68">
        <f t="shared" si="5"/>
        <v>5987.3123904758431</v>
      </c>
      <c r="N19" s="68">
        <f t="shared" si="6"/>
        <v>2314.1306832894429</v>
      </c>
      <c r="O19" s="64">
        <f t="shared" si="7"/>
        <v>26853.152959184863</v>
      </c>
      <c r="AM19" s="74" t="s">
        <v>387</v>
      </c>
      <c r="AN19" s="72"/>
      <c r="AO19" s="72"/>
    </row>
    <row r="20" spans="2:41" x14ac:dyDescent="0.55000000000000004">
      <c r="B20">
        <v>9</v>
      </c>
      <c r="C20" s="10">
        <v>45191</v>
      </c>
      <c r="D20" s="6">
        <v>561.45033751607934</v>
      </c>
      <c r="E20" s="6">
        <v>3089</v>
      </c>
      <c r="F20" s="6">
        <v>6332</v>
      </c>
      <c r="G20" s="6">
        <v>2997</v>
      </c>
      <c r="H20" s="68">
        <f t="shared" si="0"/>
        <v>561.44771179100087</v>
      </c>
      <c r="I20" s="64">
        <f t="shared" si="1"/>
        <v>6.8944321877262761E-6</v>
      </c>
      <c r="J20" s="67">
        <f t="shared" si="2"/>
        <v>3340.616381405137</v>
      </c>
      <c r="K20" s="64">
        <f t="shared" si="3"/>
        <v>63310.803391415357</v>
      </c>
      <c r="L20" s="68">
        <f t="shared" si="4"/>
        <v>6369.823900683522</v>
      </c>
      <c r="M20" s="68">
        <f t="shared" si="5"/>
        <v>1430.6474629169338</v>
      </c>
      <c r="N20" s="68">
        <f t="shared" si="6"/>
        <v>2836.0137457867681</v>
      </c>
      <c r="O20" s="64">
        <f t="shared" si="7"/>
        <v>25916.574045607311</v>
      </c>
      <c r="AM20" s="72">
        <f>AM13</f>
        <v>10796.669584952882</v>
      </c>
      <c r="AN20" s="72"/>
      <c r="AO20" s="72"/>
    </row>
    <row r="21" spans="2:41" ht="15" customHeight="1" x14ac:dyDescent="0.55000000000000004">
      <c r="B21">
        <v>10</v>
      </c>
      <c r="C21" s="10">
        <v>45221</v>
      </c>
      <c r="D21" s="6">
        <v>612.1506128246599</v>
      </c>
      <c r="E21" s="6">
        <v>3194</v>
      </c>
      <c r="F21" s="6">
        <v>6471</v>
      </c>
      <c r="G21" s="6">
        <v>3578</v>
      </c>
      <c r="H21" s="68">
        <f t="shared" si="0"/>
        <v>612.14830942326705</v>
      </c>
      <c r="I21" s="64">
        <f t="shared" si="1"/>
        <v>5.3056579765874715E-6</v>
      </c>
      <c r="J21" s="67">
        <f t="shared" si="2"/>
        <v>3372.5388630324524</v>
      </c>
      <c r="K21" s="64">
        <f t="shared" si="3"/>
        <v>31876.125612920783</v>
      </c>
      <c r="L21" s="68">
        <f t="shared" si="4"/>
        <v>6569.2470527476817</v>
      </c>
      <c r="M21" s="68">
        <f t="shared" si="5"/>
        <v>9652.4833736057426</v>
      </c>
      <c r="N21" s="68">
        <f t="shared" si="6"/>
        <v>3423.6756092832975</v>
      </c>
      <c r="O21" s="64">
        <f t="shared" si="7"/>
        <v>23816.017570081454</v>
      </c>
      <c r="AM21" s="75" t="s">
        <v>388</v>
      </c>
      <c r="AN21" s="72"/>
      <c r="AO21" s="72"/>
    </row>
    <row r="22" spans="2:41" x14ac:dyDescent="0.55000000000000004">
      <c r="B22">
        <v>11</v>
      </c>
      <c r="C22" s="10">
        <v>45252</v>
      </c>
      <c r="D22" s="6">
        <v>647.62158093881692</v>
      </c>
      <c r="E22" s="6">
        <v>3227.6</v>
      </c>
      <c r="F22" s="6">
        <v>6698</v>
      </c>
      <c r="G22" s="6">
        <v>4012</v>
      </c>
      <c r="H22" s="68">
        <f t="shared" si="0"/>
        <v>647.6199549622213</v>
      </c>
      <c r="I22" s="64">
        <f t="shared" si="1"/>
        <v>2.6437998895015645E-6</v>
      </c>
      <c r="J22" s="67">
        <f t="shared" si="2"/>
        <v>3402.8913719333609</v>
      </c>
      <c r="K22" s="64">
        <f t="shared" si="3"/>
        <v>30727.065074279904</v>
      </c>
      <c r="L22" s="68">
        <f t="shared" si="4"/>
        <v>6765.3720456226156</v>
      </c>
      <c r="M22" s="68">
        <f t="shared" si="5"/>
        <v>4538.9925313757958</v>
      </c>
      <c r="N22" s="68">
        <f t="shared" si="6"/>
        <v>4064.7397749485035</v>
      </c>
      <c r="O22" s="64">
        <f t="shared" si="7"/>
        <v>2781.4838616187985</v>
      </c>
      <c r="AM22" s="72">
        <f>LN(AN13)/AO13</f>
        <v>4.2694482045522477</v>
      </c>
      <c r="AN22" s="72"/>
      <c r="AO22" s="72"/>
    </row>
    <row r="23" spans="2:41" x14ac:dyDescent="0.55000000000000004">
      <c r="B23">
        <v>12</v>
      </c>
      <c r="C23" s="10">
        <v>45282</v>
      </c>
      <c r="D23" s="6">
        <v>671.2115253496122</v>
      </c>
      <c r="E23" s="6">
        <v>3926</v>
      </c>
      <c r="F23" s="6">
        <v>6934</v>
      </c>
      <c r="G23" s="6">
        <v>4687</v>
      </c>
      <c r="H23" s="68">
        <f t="shared" si="0"/>
        <v>671.21065761931754</v>
      </c>
      <c r="I23" s="64">
        <f t="shared" si="1"/>
        <v>7.5295586426731366E-7</v>
      </c>
      <c r="J23" s="67">
        <f t="shared" si="2"/>
        <v>3431.7201320872791</v>
      </c>
      <c r="K23" s="64">
        <f t="shared" si="3"/>
        <v>244312.58782381681</v>
      </c>
      <c r="L23" s="68">
        <f t="shared" si="4"/>
        <v>6957.7153664961725</v>
      </c>
      <c r="M23" s="68">
        <f t="shared" si="5"/>
        <v>562.41860804777946</v>
      </c>
      <c r="N23" s="68">
        <f t="shared" si="6"/>
        <v>4740.3004101095185</v>
      </c>
      <c r="O23" s="64">
        <f t="shared" si="7"/>
        <v>2840.9337178428568</v>
      </c>
      <c r="AM23" s="73"/>
      <c r="AN23" s="73"/>
      <c r="AO23" s="73"/>
    </row>
    <row r="24" spans="2:41" x14ac:dyDescent="0.55000000000000004">
      <c r="B24">
        <v>13</v>
      </c>
      <c r="C24" s="10">
        <v>45313</v>
      </c>
      <c r="D24" s="6">
        <v>686.37575305856012</v>
      </c>
      <c r="E24" s="6">
        <v>3286.8</v>
      </c>
      <c r="F24" s="6">
        <v>7198</v>
      </c>
      <c r="G24" s="6">
        <v>5289</v>
      </c>
      <c r="H24" s="68">
        <f t="shared" si="0"/>
        <v>686.37556707256795</v>
      </c>
      <c r="I24" s="64">
        <f t="shared" si="1"/>
        <v>3.4590789285363597E-8</v>
      </c>
      <c r="J24" s="67">
        <f t="shared" si="2"/>
        <v>3459.0737115879469</v>
      </c>
      <c r="K24" s="64">
        <f t="shared" si="3"/>
        <v>29678.231704287064</v>
      </c>
      <c r="L24" s="68">
        <f t="shared" si="4"/>
        <v>7145.8338394642496</v>
      </c>
      <c r="M24" s="68">
        <f t="shared" si="5"/>
        <v>2721.3083050416772</v>
      </c>
      <c r="N24" s="68">
        <f t="shared" si="6"/>
        <v>5426.7723128021244</v>
      </c>
      <c r="O24" s="64">
        <f t="shared" si="7"/>
        <v>18981.210174846401</v>
      </c>
    </row>
    <row r="25" spans="2:41" x14ac:dyDescent="0.55000000000000004">
      <c r="B25">
        <v>14</v>
      </c>
      <c r="C25" s="10">
        <v>45344</v>
      </c>
      <c r="D25" s="6">
        <v>695.91178823338214</v>
      </c>
      <c r="E25" s="6">
        <v>3110</v>
      </c>
      <c r="F25" s="6">
        <v>7376</v>
      </c>
      <c r="G25" s="6">
        <v>6023</v>
      </c>
      <c r="H25" s="68">
        <f t="shared" si="0"/>
        <v>695.91214907942185</v>
      </c>
      <c r="I25" s="64">
        <f t="shared" si="1"/>
        <v>1.3020986437566084E-7</v>
      </c>
      <c r="J25" s="67">
        <f t="shared" si="2"/>
        <v>3485.0024786063418</v>
      </c>
      <c r="K25" s="64">
        <f t="shared" si="3"/>
        <v>140626.85896089984</v>
      </c>
      <c r="L25" s="68">
        <f t="shared" si="4"/>
        <v>7329.3279142119163</v>
      </c>
      <c r="M25" s="68">
        <f t="shared" si="5"/>
        <v>2178.2835918102423</v>
      </c>
      <c r="N25" s="68">
        <f t="shared" si="6"/>
        <v>6099.0151624042328</v>
      </c>
      <c r="O25" s="64">
        <f t="shared" si="7"/>
        <v>5778.304915341887</v>
      </c>
    </row>
    <row r="26" spans="2:41" x14ac:dyDescent="0.55000000000000004">
      <c r="B26">
        <v>15</v>
      </c>
      <c r="C26" s="10">
        <v>45373</v>
      </c>
      <c r="D26" s="6">
        <v>701.82587986351939</v>
      </c>
      <c r="E26" s="6">
        <v>3322</v>
      </c>
      <c r="F26" s="6">
        <v>7560</v>
      </c>
      <c r="G26" s="6">
        <v>6598</v>
      </c>
      <c r="H26" s="68">
        <f t="shared" si="0"/>
        <v>701.82665048459364</v>
      </c>
      <c r="I26" s="64">
        <f t="shared" si="1"/>
        <v>5.9385684008227895E-7</v>
      </c>
      <c r="J26" s="67">
        <f t="shared" si="2"/>
        <v>3509.5581015189578</v>
      </c>
      <c r="K26" s="64">
        <f t="shared" si="3"/>
        <v>35178.041445395662</v>
      </c>
      <c r="L26" s="68">
        <f t="shared" si="4"/>
        <v>7507.8440512666921</v>
      </c>
      <c r="M26" s="68">
        <f t="shared" si="5"/>
        <v>2720.2429882714446</v>
      </c>
      <c r="N26" s="68">
        <f t="shared" si="6"/>
        <v>6733.9094840683656</v>
      </c>
      <c r="O26" s="64">
        <f t="shared" si="7"/>
        <v>18471.387859729322</v>
      </c>
    </row>
    <row r="27" spans="2:41" x14ac:dyDescent="0.55000000000000004">
      <c r="B27">
        <v>16</v>
      </c>
      <c r="C27" s="10">
        <v>45404</v>
      </c>
      <c r="D27" s="6">
        <v>705.46218529121825</v>
      </c>
      <c r="E27" s="6">
        <v>4154</v>
      </c>
      <c r="F27" s="6">
        <v>7692</v>
      </c>
      <c r="G27" s="6">
        <v>7278</v>
      </c>
      <c r="H27" s="68">
        <f t="shared" si="0"/>
        <v>705.4632499213518</v>
      </c>
      <c r="I27" s="64">
        <f t="shared" si="1"/>
        <v>1.1334373212744249E-6</v>
      </c>
      <c r="J27" s="67">
        <f t="shared" si="2"/>
        <v>3532.7930940504143</v>
      </c>
      <c r="K27" s="64">
        <f t="shared" si="3"/>
        <v>385898.01999945741</v>
      </c>
      <c r="L27" s="68">
        <f t="shared" si="4"/>
        <v>7681.0762061797577</v>
      </c>
      <c r="M27" s="68">
        <f t="shared" si="5"/>
        <v>119.32927142716345</v>
      </c>
      <c r="N27" s="68">
        <f t="shared" si="6"/>
        <v>7313.3482709952741</v>
      </c>
      <c r="O27" s="64">
        <f t="shared" si="7"/>
        <v>1249.5002623553366</v>
      </c>
      <c r="AL27" s="71" t="s">
        <v>382</v>
      </c>
      <c r="AM27" s="72"/>
      <c r="AN27" s="72"/>
      <c r="AO27" s="73"/>
    </row>
    <row r="28" spans="2:41" x14ac:dyDescent="0.55000000000000004">
      <c r="B28">
        <v>17</v>
      </c>
      <c r="C28" s="10">
        <v>45434</v>
      </c>
      <c r="D28" s="6">
        <v>707.68613222247166</v>
      </c>
      <c r="E28" s="6">
        <v>3456</v>
      </c>
      <c r="F28" s="6">
        <v>7823</v>
      </c>
      <c r="G28" s="6">
        <v>8034</v>
      </c>
      <c r="H28" s="68">
        <f t="shared" si="0"/>
        <v>707.68740173379501</v>
      </c>
      <c r="I28" s="64">
        <f t="shared" si="1"/>
        <v>1.611659000133214E-6</v>
      </c>
      <c r="J28" s="67">
        <f t="shared" si="2"/>
        <v>3554.760405374348</v>
      </c>
      <c r="K28" s="64">
        <f t="shared" si="3"/>
        <v>9753.6176697055471</v>
      </c>
      <c r="L28" s="68">
        <f t="shared" si="4"/>
        <v>7848.7664423759807</v>
      </c>
      <c r="M28" s="68">
        <f t="shared" si="5"/>
        <v>663.90955271473183</v>
      </c>
      <c r="N28" s="68">
        <f t="shared" si="6"/>
        <v>7825.8828973128857</v>
      </c>
      <c r="O28" s="64">
        <f t="shared" si="7"/>
        <v>43312.72843087888</v>
      </c>
      <c r="S28" s="71" t="s">
        <v>390</v>
      </c>
      <c r="T28" s="72"/>
      <c r="U28" s="72"/>
      <c r="AL28" s="71" t="s">
        <v>383</v>
      </c>
      <c r="AM28" s="71" t="s">
        <v>384</v>
      </c>
      <c r="AN28" s="71" t="s">
        <v>385</v>
      </c>
      <c r="AO28" s="73"/>
    </row>
    <row r="29" spans="2:41" x14ac:dyDescent="0.55000000000000004">
      <c r="B29">
        <v>18</v>
      </c>
      <c r="C29" s="10">
        <v>45465</v>
      </c>
      <c r="H29" s="68">
        <f t="shared" si="0"/>
        <v>709.04327821691857</v>
      </c>
      <c r="I29" s="69"/>
      <c r="J29" s="76">
        <f t="shared" si="2"/>
        <v>3575.5130543633254</v>
      </c>
      <c r="K29" s="70"/>
      <c r="L29" s="77">
        <f t="shared" si="4"/>
        <v>8010.7047261937332</v>
      </c>
      <c r="M29" s="70"/>
      <c r="N29" s="77">
        <f t="shared" si="6"/>
        <v>8266.8397029350999</v>
      </c>
      <c r="O29" s="64"/>
      <c r="S29" s="71" t="s">
        <v>383</v>
      </c>
      <c r="T29" s="71" t="s">
        <v>384</v>
      </c>
      <c r="U29" s="71" t="s">
        <v>385</v>
      </c>
      <c r="AL29" s="72">
        <v>3894.2327743256569</v>
      </c>
      <c r="AM29" s="72">
        <v>0.30810170574356133</v>
      </c>
      <c r="AN29" s="72">
        <v>6.8901473539655464E-2</v>
      </c>
      <c r="AO29" s="73"/>
    </row>
    <row r="30" spans="2:41" x14ac:dyDescent="0.55000000000000004">
      <c r="B30">
        <v>19</v>
      </c>
      <c r="C30" s="10">
        <v>45495</v>
      </c>
      <c r="H30" s="68">
        <f t="shared" si="0"/>
        <v>709.86820183506632</v>
      </c>
      <c r="I30" s="69"/>
      <c r="J30" s="76">
        <f t="shared" si="2"/>
        <v>3595.1038065692337</v>
      </c>
      <c r="K30" s="70"/>
      <c r="L30" s="77">
        <f t="shared" si="4"/>
        <v>8166.7279770475498</v>
      </c>
      <c r="M30" s="70"/>
      <c r="N30" s="77">
        <f t="shared" si="6"/>
        <v>8637.2542072779015</v>
      </c>
      <c r="O30" s="64"/>
      <c r="S30" s="72">
        <v>711.14361778568639</v>
      </c>
      <c r="T30" s="72">
        <v>23.998519137248604</v>
      </c>
      <c r="U30" s="72">
        <v>0.49998942559092929</v>
      </c>
      <c r="AL30" s="72"/>
      <c r="AM30" s="72"/>
      <c r="AN30" s="72"/>
      <c r="AO30" s="73"/>
    </row>
    <row r="31" spans="2:41" x14ac:dyDescent="0.55000000000000004">
      <c r="B31">
        <v>20</v>
      </c>
      <c r="C31" s="10">
        <v>45526</v>
      </c>
      <c r="H31" s="68">
        <f t="shared" si="0"/>
        <v>710.36948444905738</v>
      </c>
      <c r="I31" s="69"/>
      <c r="J31" s="76">
        <f t="shared" si="2"/>
        <v>3613.5848920393996</v>
      </c>
      <c r="K31" s="70"/>
      <c r="L31" s="77">
        <f t="shared" si="4"/>
        <v>8316.718460267979</v>
      </c>
      <c r="M31" s="70"/>
      <c r="N31" s="77">
        <f t="shared" si="6"/>
        <v>8942.2143781819159</v>
      </c>
      <c r="O31" s="64"/>
      <c r="S31" s="72"/>
      <c r="T31" s="72"/>
      <c r="U31" s="72"/>
      <c r="AL31" s="72"/>
      <c r="AM31" s="72"/>
      <c r="AN31" s="72"/>
      <c r="AO31" s="73"/>
    </row>
    <row r="32" spans="2:41" x14ac:dyDescent="0.55000000000000004">
      <c r="B32">
        <v>21</v>
      </c>
      <c r="C32" s="10">
        <v>45557</v>
      </c>
      <c r="H32" s="68">
        <f t="shared" si="0"/>
        <v>710.67387602025246</v>
      </c>
      <c r="I32" s="69"/>
      <c r="J32" s="76">
        <f t="shared" si="2"/>
        <v>3631.0077617177235</v>
      </c>
      <c r="K32" s="70"/>
      <c r="L32" s="77">
        <f t="shared" si="4"/>
        <v>8460.6016199051082</v>
      </c>
      <c r="M32" s="70"/>
      <c r="N32" s="77">
        <f t="shared" si="6"/>
        <v>9189.1550221650505</v>
      </c>
      <c r="O32" s="64"/>
      <c r="S32" s="72"/>
      <c r="T32" s="72"/>
      <c r="U32" s="72"/>
      <c r="AL32" s="71" t="s">
        <v>386</v>
      </c>
      <c r="AM32" s="72"/>
      <c r="AN32" s="72"/>
      <c r="AO32" s="73"/>
    </row>
    <row r="33" spans="3:41" x14ac:dyDescent="0.55000000000000004">
      <c r="S33" s="71" t="s">
        <v>386</v>
      </c>
      <c r="T33" s="72"/>
      <c r="U33" s="72"/>
      <c r="AL33" s="72">
        <f>SUM(AF4:AF20)</f>
        <v>0</v>
      </c>
      <c r="AM33" s="72"/>
      <c r="AN33" s="72"/>
      <c r="AO33" s="73"/>
    </row>
    <row r="34" spans="3:41" x14ac:dyDescent="0.55000000000000004">
      <c r="S34" s="72">
        <f>SUM(Q5:Q21)</f>
        <v>0</v>
      </c>
      <c r="T34" s="72"/>
      <c r="U34" s="72"/>
      <c r="AL34" s="72"/>
      <c r="AM34" s="72"/>
      <c r="AN34" s="72"/>
      <c r="AO34" s="73"/>
    </row>
    <row r="35" spans="3:41" x14ac:dyDescent="0.55000000000000004">
      <c r="S35" s="72"/>
      <c r="T35" s="72"/>
      <c r="U35" s="72"/>
      <c r="AL35" s="74" t="s">
        <v>387</v>
      </c>
      <c r="AM35" s="72"/>
      <c r="AN35" s="72"/>
      <c r="AO35" s="73"/>
    </row>
    <row r="36" spans="3:41" x14ac:dyDescent="0.55000000000000004">
      <c r="C36" s="4" t="s">
        <v>15</v>
      </c>
      <c r="D36" t="s">
        <v>10</v>
      </c>
      <c r="F36" s="4" t="s">
        <v>15</v>
      </c>
      <c r="G36" t="s">
        <v>11</v>
      </c>
      <c r="I36" s="4" t="s">
        <v>15</v>
      </c>
      <c r="J36" t="s">
        <v>12</v>
      </c>
      <c r="S36" s="74" t="s">
        <v>387</v>
      </c>
      <c r="T36" s="72"/>
      <c r="U36" s="72"/>
      <c r="AL36" s="72">
        <f>AL29</f>
        <v>3894.2327743256569</v>
      </c>
      <c r="AM36" s="72"/>
      <c r="AN36" s="72"/>
      <c r="AO36" s="73"/>
    </row>
    <row r="37" spans="3:41" x14ac:dyDescent="0.55000000000000004">
      <c r="C37" s="10">
        <v>44948</v>
      </c>
      <c r="D37">
        <v>2988.6</v>
      </c>
      <c r="F37" s="10">
        <v>44948</v>
      </c>
      <c r="G37">
        <v>4630</v>
      </c>
      <c r="I37" s="10">
        <v>44948</v>
      </c>
      <c r="J37">
        <v>234</v>
      </c>
      <c r="S37" s="72">
        <f>S30</f>
        <v>711.14361778568639</v>
      </c>
      <c r="T37" s="72"/>
      <c r="U37" s="72"/>
      <c r="AL37" s="75" t="s">
        <v>388</v>
      </c>
      <c r="AM37" s="72"/>
      <c r="AN37" s="72"/>
      <c r="AO37" s="73"/>
    </row>
    <row r="38" spans="3:41" x14ac:dyDescent="0.55000000000000004">
      <c r="C38" s="10">
        <v>44979</v>
      </c>
      <c r="D38">
        <v>3071.2</v>
      </c>
      <c r="F38" s="10">
        <v>44979</v>
      </c>
      <c r="G38">
        <v>4900</v>
      </c>
      <c r="I38" s="10">
        <v>44979</v>
      </c>
      <c r="J38">
        <v>301</v>
      </c>
      <c r="S38" s="75" t="s">
        <v>388</v>
      </c>
      <c r="T38" s="72"/>
      <c r="U38" s="72"/>
      <c r="AL38" s="72">
        <f>LN(AM29)/AN29</f>
        <v>-17.087085029992984</v>
      </c>
      <c r="AM38" s="72"/>
      <c r="AN38" s="72"/>
      <c r="AO38" s="73"/>
    </row>
    <row r="39" spans="3:41" x14ac:dyDescent="0.55000000000000004">
      <c r="C39" s="10">
        <v>45007</v>
      </c>
      <c r="D39">
        <v>3019.8</v>
      </c>
      <c r="F39" s="10">
        <v>45007</v>
      </c>
      <c r="G39">
        <v>5267</v>
      </c>
      <c r="I39" s="10">
        <v>45007</v>
      </c>
      <c r="J39">
        <v>403</v>
      </c>
      <c r="S39" s="73">
        <f>LN(T30)/U30</f>
        <v>6.3561186760572035</v>
      </c>
      <c r="T39" s="73"/>
      <c r="U39" s="73"/>
      <c r="AL39" s="73"/>
      <c r="AM39" s="73"/>
      <c r="AN39" s="73"/>
      <c r="AO39" s="73"/>
    </row>
    <row r="40" spans="3:41" x14ac:dyDescent="0.55000000000000004">
      <c r="C40" s="10">
        <v>45038</v>
      </c>
      <c r="D40">
        <v>3621</v>
      </c>
      <c r="F40" s="10">
        <v>45038</v>
      </c>
      <c r="G40">
        <v>5400</v>
      </c>
      <c r="I40" s="10">
        <v>45038</v>
      </c>
      <c r="J40">
        <v>867</v>
      </c>
    </row>
    <row r="41" spans="3:41" x14ac:dyDescent="0.55000000000000004">
      <c r="C41" s="10">
        <v>45068</v>
      </c>
      <c r="D41">
        <v>3012</v>
      </c>
      <c r="F41" s="10">
        <v>45068</v>
      </c>
      <c r="G41">
        <v>5612</v>
      </c>
      <c r="I41" s="10">
        <v>45068</v>
      </c>
      <c r="J41">
        <v>1212</v>
      </c>
    </row>
    <row r="42" spans="3:41" x14ac:dyDescent="0.55000000000000004">
      <c r="C42" s="10">
        <v>45099</v>
      </c>
      <c r="D42">
        <v>3159</v>
      </c>
      <c r="F42" s="10">
        <v>45099</v>
      </c>
      <c r="G42">
        <v>5714</v>
      </c>
      <c r="I42" s="10">
        <v>45099</v>
      </c>
      <c r="J42">
        <v>1489</v>
      </c>
    </row>
    <row r="43" spans="3:41" x14ac:dyDescent="0.55000000000000004">
      <c r="C43" s="10">
        <v>45129</v>
      </c>
      <c r="D43">
        <v>3126.2</v>
      </c>
      <c r="F43" s="10">
        <v>45129</v>
      </c>
      <c r="G43">
        <v>5923</v>
      </c>
      <c r="I43" s="10">
        <v>45129</v>
      </c>
      <c r="J43">
        <v>2021</v>
      </c>
    </row>
    <row r="44" spans="3:41" x14ac:dyDescent="0.55000000000000004">
      <c r="C44" s="10">
        <v>45160</v>
      </c>
      <c r="D44">
        <v>3798</v>
      </c>
      <c r="F44" s="10">
        <v>45160</v>
      </c>
      <c r="G44">
        <v>6245</v>
      </c>
      <c r="I44" s="10">
        <v>45160</v>
      </c>
      <c r="J44">
        <v>2478</v>
      </c>
      <c r="AD44" s="71" t="s">
        <v>389</v>
      </c>
      <c r="AE44" s="72"/>
      <c r="AF44" s="72"/>
      <c r="AG44" s="73"/>
    </row>
    <row r="45" spans="3:41" x14ac:dyDescent="0.55000000000000004">
      <c r="C45" s="10">
        <v>45191</v>
      </c>
      <c r="D45">
        <v>3089</v>
      </c>
      <c r="F45" s="10">
        <v>45191</v>
      </c>
      <c r="G45">
        <v>6332</v>
      </c>
      <c r="I45" s="10">
        <v>45191</v>
      </c>
      <c r="J45">
        <v>2997</v>
      </c>
      <c r="AD45" s="71" t="s">
        <v>383</v>
      </c>
      <c r="AE45" s="71" t="s">
        <v>384</v>
      </c>
      <c r="AF45" s="71" t="s">
        <v>385</v>
      </c>
      <c r="AG45" s="73"/>
    </row>
    <row r="46" spans="3:41" x14ac:dyDescent="0.55000000000000004">
      <c r="C46" s="10">
        <v>45221</v>
      </c>
      <c r="D46">
        <v>3194</v>
      </c>
      <c r="F46" s="10">
        <v>45221</v>
      </c>
      <c r="G46">
        <v>6471</v>
      </c>
      <c r="I46" s="10">
        <v>45221</v>
      </c>
      <c r="J46">
        <v>3578</v>
      </c>
      <c r="AD46" s="72">
        <v>10075.656150555453</v>
      </c>
      <c r="AE46" s="72">
        <v>29.782598413118105</v>
      </c>
      <c r="AF46" s="72">
        <v>0.27297243545103006</v>
      </c>
      <c r="AG46" s="73"/>
    </row>
    <row r="47" spans="3:41" x14ac:dyDescent="0.55000000000000004">
      <c r="C47" s="10">
        <v>45252</v>
      </c>
      <c r="D47">
        <v>3227.6</v>
      </c>
      <c r="F47" s="10">
        <v>45252</v>
      </c>
      <c r="G47">
        <v>6698</v>
      </c>
      <c r="I47" s="10">
        <v>45252</v>
      </c>
      <c r="J47">
        <v>4012</v>
      </c>
      <c r="AD47" s="72"/>
      <c r="AE47" s="72"/>
      <c r="AF47" s="72"/>
      <c r="AG47" s="73"/>
    </row>
    <row r="48" spans="3:41" x14ac:dyDescent="0.55000000000000004">
      <c r="C48" s="10">
        <v>45282</v>
      </c>
      <c r="D48">
        <v>3926</v>
      </c>
      <c r="F48" s="10">
        <v>45282</v>
      </c>
      <c r="G48">
        <v>6934</v>
      </c>
      <c r="I48" s="10">
        <v>45282</v>
      </c>
      <c r="J48">
        <v>4687</v>
      </c>
      <c r="AD48" s="72"/>
      <c r="AE48" s="72"/>
      <c r="AF48" s="72"/>
      <c r="AG48" s="73"/>
    </row>
    <row r="49" spans="1:33" x14ac:dyDescent="0.55000000000000004">
      <c r="C49" s="10">
        <v>45313</v>
      </c>
      <c r="D49">
        <v>3286.8</v>
      </c>
      <c r="F49" s="10">
        <v>45313</v>
      </c>
      <c r="G49">
        <v>7198</v>
      </c>
      <c r="I49" s="10">
        <v>45313</v>
      </c>
      <c r="J49">
        <v>5289</v>
      </c>
      <c r="AD49" s="71" t="s">
        <v>386</v>
      </c>
      <c r="AE49" s="72"/>
      <c r="AF49" s="72"/>
      <c r="AG49" s="73"/>
    </row>
    <row r="50" spans="1:33" x14ac:dyDescent="0.55000000000000004">
      <c r="C50" s="10">
        <v>45344</v>
      </c>
      <c r="D50">
        <v>3110</v>
      </c>
      <c r="F50" s="10">
        <v>45344</v>
      </c>
      <c r="G50">
        <v>7376</v>
      </c>
      <c r="I50" s="10">
        <v>45344</v>
      </c>
      <c r="J50">
        <v>6023</v>
      </c>
      <c r="AD50" s="72">
        <f>SUM(AB1:AB17)</f>
        <v>0</v>
      </c>
      <c r="AE50" s="72"/>
      <c r="AF50" s="72"/>
      <c r="AG50" s="73"/>
    </row>
    <row r="51" spans="1:33" x14ac:dyDescent="0.55000000000000004">
      <c r="C51" s="10">
        <v>45373</v>
      </c>
      <c r="D51">
        <v>3322</v>
      </c>
      <c r="F51" s="10">
        <v>45373</v>
      </c>
      <c r="G51">
        <v>7560</v>
      </c>
      <c r="I51" s="10">
        <v>45373</v>
      </c>
      <c r="J51">
        <v>6598</v>
      </c>
      <c r="AD51" s="72"/>
      <c r="AE51" s="72"/>
      <c r="AF51" s="72"/>
      <c r="AG51" s="73"/>
    </row>
    <row r="52" spans="1:33" x14ac:dyDescent="0.55000000000000004">
      <c r="C52" s="10">
        <v>45404</v>
      </c>
      <c r="D52">
        <v>4154</v>
      </c>
      <c r="F52" s="10">
        <v>45404</v>
      </c>
      <c r="G52">
        <v>7692</v>
      </c>
      <c r="I52" s="10">
        <v>45404</v>
      </c>
      <c r="J52">
        <v>7278</v>
      </c>
      <c r="AD52" s="74" t="s">
        <v>387</v>
      </c>
      <c r="AE52" s="72"/>
      <c r="AF52" s="72"/>
      <c r="AG52" s="73"/>
    </row>
    <row r="53" spans="1:33" x14ac:dyDescent="0.55000000000000004">
      <c r="C53" s="10">
        <v>45434</v>
      </c>
      <c r="D53">
        <v>3456</v>
      </c>
      <c r="F53" s="10">
        <v>45434</v>
      </c>
      <c r="G53">
        <v>7823</v>
      </c>
      <c r="I53" s="10">
        <v>45434</v>
      </c>
      <c r="J53">
        <v>8034</v>
      </c>
      <c r="AD53" s="72">
        <f>AD46</f>
        <v>10075.656150555453</v>
      </c>
      <c r="AE53" s="72"/>
      <c r="AF53" s="72"/>
      <c r="AG53" s="73"/>
    </row>
    <row r="54" spans="1:33" x14ac:dyDescent="0.55000000000000004">
      <c r="C54" s="10">
        <v>45465</v>
      </c>
      <c r="F54" s="10">
        <v>45465</v>
      </c>
      <c r="I54" s="10">
        <v>45465</v>
      </c>
      <c r="AD54" s="75" t="s">
        <v>388</v>
      </c>
      <c r="AE54" s="72"/>
      <c r="AF54" s="72"/>
      <c r="AG54" s="73"/>
    </row>
    <row r="55" spans="1:33" x14ac:dyDescent="0.55000000000000004">
      <c r="C55" s="10">
        <v>45495</v>
      </c>
      <c r="F55" s="10">
        <v>45495</v>
      </c>
      <c r="I55" s="10">
        <v>45495</v>
      </c>
      <c r="AD55" s="72">
        <f>LN(AE46)/AF46</f>
        <v>12.433212428472107</v>
      </c>
      <c r="AE55" s="72"/>
      <c r="AF55" s="72"/>
      <c r="AG55" s="73"/>
    </row>
    <row r="56" spans="1:33" x14ac:dyDescent="0.55000000000000004">
      <c r="C56" s="10">
        <v>45526</v>
      </c>
      <c r="F56" s="10">
        <v>45526</v>
      </c>
      <c r="I56" s="10">
        <v>45526</v>
      </c>
    </row>
    <row r="57" spans="1:33" x14ac:dyDescent="0.55000000000000004">
      <c r="C57" s="10">
        <v>45557</v>
      </c>
      <c r="F57" s="10">
        <v>45557</v>
      </c>
      <c r="I57" s="10">
        <v>45557</v>
      </c>
    </row>
    <row r="63" spans="1:33" ht="28.8" x14ac:dyDescent="0.55000000000000004">
      <c r="A63" s="29" t="s">
        <v>1</v>
      </c>
      <c r="B63" s="29" t="s">
        <v>392</v>
      </c>
      <c r="C63" s="29" t="s">
        <v>393</v>
      </c>
      <c r="D63" s="29" t="s">
        <v>394</v>
      </c>
      <c r="E63" s="29" t="s">
        <v>395</v>
      </c>
      <c r="J63" s="80" t="s">
        <v>438</v>
      </c>
      <c r="K63" t="s">
        <v>439</v>
      </c>
      <c r="L63" t="s">
        <v>440</v>
      </c>
      <c r="M63" t="s">
        <v>441</v>
      </c>
      <c r="O63" s="80" t="s">
        <v>438</v>
      </c>
      <c r="P63" t="s">
        <v>439</v>
      </c>
    </row>
    <row r="64" spans="1:33" ht="114" customHeight="1" x14ac:dyDescent="0.55000000000000004">
      <c r="A64" s="78" t="s">
        <v>13</v>
      </c>
      <c r="B64" s="53" t="s">
        <v>396</v>
      </c>
      <c r="C64" s="53" t="s">
        <v>397</v>
      </c>
      <c r="D64" s="53" t="s">
        <v>398</v>
      </c>
      <c r="E64" s="53" t="s">
        <v>399</v>
      </c>
      <c r="J64" s="80" t="s">
        <v>416</v>
      </c>
      <c r="O64" s="80" t="s">
        <v>425</v>
      </c>
    </row>
    <row r="65" spans="1:16" ht="129.6" x14ac:dyDescent="0.55000000000000004">
      <c r="A65" s="78" t="s">
        <v>10</v>
      </c>
      <c r="B65" s="53" t="s">
        <v>400</v>
      </c>
      <c r="C65" s="53" t="s">
        <v>401</v>
      </c>
      <c r="D65" s="53" t="s">
        <v>402</v>
      </c>
      <c r="E65" s="53" t="s">
        <v>403</v>
      </c>
    </row>
    <row r="66" spans="1:16" ht="115.2" x14ac:dyDescent="0.55000000000000004">
      <c r="A66" s="78" t="s">
        <v>11</v>
      </c>
      <c r="B66" s="53" t="s">
        <v>404</v>
      </c>
      <c r="C66" s="53" t="s">
        <v>405</v>
      </c>
      <c r="D66" s="53" t="s">
        <v>406</v>
      </c>
      <c r="E66" s="53" t="s">
        <v>407</v>
      </c>
      <c r="J66" s="29" t="s">
        <v>1</v>
      </c>
      <c r="K66" s="29" t="s">
        <v>417</v>
      </c>
      <c r="L66" s="29" t="s">
        <v>386</v>
      </c>
      <c r="M66" s="29" t="s">
        <v>418</v>
      </c>
      <c r="O66" s="29" t="s">
        <v>1</v>
      </c>
      <c r="P66" s="29" t="s">
        <v>426</v>
      </c>
    </row>
    <row r="67" spans="1:16" ht="115.2" x14ac:dyDescent="0.55000000000000004">
      <c r="A67" s="78" t="s">
        <v>12</v>
      </c>
      <c r="B67" s="53" t="s">
        <v>408</v>
      </c>
      <c r="C67" s="53" t="s">
        <v>409</v>
      </c>
      <c r="D67" s="53" t="s">
        <v>409</v>
      </c>
      <c r="E67" s="53" t="s">
        <v>410</v>
      </c>
      <c r="J67" s="78" t="s">
        <v>13</v>
      </c>
      <c r="K67" s="53" t="s">
        <v>397</v>
      </c>
      <c r="L67" s="53" t="s">
        <v>398</v>
      </c>
      <c r="M67" s="53" t="s">
        <v>419</v>
      </c>
      <c r="O67" s="78" t="s">
        <v>12</v>
      </c>
      <c r="P67" s="53" t="s">
        <v>427</v>
      </c>
    </row>
    <row r="68" spans="1:16" ht="216.6" customHeight="1" x14ac:dyDescent="0.55000000000000004">
      <c r="J68" s="78" t="s">
        <v>10</v>
      </c>
      <c r="K68" s="53" t="s">
        <v>401</v>
      </c>
      <c r="L68" s="53" t="s">
        <v>402</v>
      </c>
      <c r="M68" s="53" t="s">
        <v>420</v>
      </c>
      <c r="O68" s="78" t="s">
        <v>11</v>
      </c>
      <c r="P68" s="53" t="s">
        <v>428</v>
      </c>
    </row>
    <row r="69" spans="1:16" ht="72" x14ac:dyDescent="0.55000000000000004">
      <c r="J69" s="78" t="s">
        <v>11</v>
      </c>
      <c r="K69" s="53" t="s">
        <v>421</v>
      </c>
      <c r="L69" s="83">
        <v>68109.95</v>
      </c>
      <c r="M69" s="53" t="s">
        <v>422</v>
      </c>
      <c r="O69" s="78" t="s">
        <v>13</v>
      </c>
      <c r="P69" s="53" t="s">
        <v>429</v>
      </c>
    </row>
    <row r="70" spans="1:16" ht="72" x14ac:dyDescent="0.55000000000000004">
      <c r="A70" s="80" t="s">
        <v>411</v>
      </c>
      <c r="J70" s="78" t="s">
        <v>12</v>
      </c>
      <c r="K70" s="53" t="s">
        <v>423</v>
      </c>
      <c r="L70" s="83">
        <v>394819.94</v>
      </c>
      <c r="M70" s="53" t="s">
        <v>424</v>
      </c>
      <c r="O70" s="78" t="s">
        <v>10</v>
      </c>
      <c r="P70" s="53" t="s">
        <v>430</v>
      </c>
    </row>
    <row r="71" spans="1:16" ht="17.399999999999999" x14ac:dyDescent="0.55000000000000004">
      <c r="A71" s="82" t="s">
        <v>412</v>
      </c>
      <c r="J71" s="80" t="s">
        <v>431</v>
      </c>
    </row>
    <row r="72" spans="1:16" x14ac:dyDescent="0.55000000000000004">
      <c r="A72" s="81"/>
    </row>
    <row r="73" spans="1:16" x14ac:dyDescent="0.55000000000000004">
      <c r="A73" s="82" t="s">
        <v>413</v>
      </c>
      <c r="J73" s="29" t="s">
        <v>432</v>
      </c>
      <c r="K73" s="29" t="s">
        <v>433</v>
      </c>
    </row>
    <row r="74" spans="1:16" ht="43.2" x14ac:dyDescent="0.55000000000000004">
      <c r="A74" s="81"/>
      <c r="J74" s="78" t="s">
        <v>13</v>
      </c>
      <c r="K74" s="53" t="s">
        <v>434</v>
      </c>
    </row>
    <row r="75" spans="1:16" ht="30.6" customHeight="1" x14ac:dyDescent="0.55000000000000004">
      <c r="A75" s="82" t="s">
        <v>414</v>
      </c>
      <c r="J75" s="78" t="s">
        <v>10</v>
      </c>
      <c r="K75" s="53" t="s">
        <v>435</v>
      </c>
    </row>
    <row r="76" spans="1:16" ht="26.4" customHeight="1" x14ac:dyDescent="0.55000000000000004">
      <c r="A76" s="81"/>
      <c r="J76" s="78" t="s">
        <v>11</v>
      </c>
      <c r="K76" s="53" t="s">
        <v>436</v>
      </c>
    </row>
    <row r="77" spans="1:16" ht="35.700000000000003" customHeight="1" x14ac:dyDescent="0.55000000000000004">
      <c r="A77" s="82" t="s">
        <v>415</v>
      </c>
      <c r="J77" s="78" t="s">
        <v>12</v>
      </c>
      <c r="K77" s="53" t="s">
        <v>437</v>
      </c>
    </row>
  </sheetData>
  <pageMargins left="0.7" right="0.7" top="0.75" bottom="0.75" header="0.3" footer="0.3"/>
  <drawing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6ED9-618A-499D-A421-B11E1149690F}">
  <sheetPr>
    <tabColor rgb="FF00B050"/>
  </sheetPr>
  <dimension ref="A1:H23"/>
  <sheetViews>
    <sheetView topLeftCell="D14" zoomScale="43" workbookViewId="0">
      <selection activeCell="D13" sqref="D13"/>
    </sheetView>
  </sheetViews>
  <sheetFormatPr defaultRowHeight="14.4" x14ac:dyDescent="0.55000000000000004"/>
  <cols>
    <col min="1" max="1" width="10.1015625" customWidth="1"/>
    <col min="2" max="2" width="9.41796875" customWidth="1"/>
    <col min="3" max="3" width="17.7890625" customWidth="1"/>
    <col min="4" max="4" width="31.89453125" customWidth="1"/>
    <col min="5" max="5" width="32" customWidth="1"/>
    <col min="7" max="7" width="9.41796875" customWidth="1"/>
    <col min="8" max="8" width="7.68359375" customWidth="1"/>
  </cols>
  <sheetData>
    <row r="1" spans="1:8" x14ac:dyDescent="0.55000000000000004">
      <c r="A1" t="s">
        <v>15</v>
      </c>
      <c r="B1" t="s">
        <v>13</v>
      </c>
      <c r="C1" t="s">
        <v>240</v>
      </c>
      <c r="D1" t="s">
        <v>241</v>
      </c>
      <c r="E1" t="s">
        <v>242</v>
      </c>
      <c r="G1" t="s">
        <v>243</v>
      </c>
      <c r="H1" t="s">
        <v>244</v>
      </c>
    </row>
    <row r="2" spans="1:8" x14ac:dyDescent="0.55000000000000004">
      <c r="A2" s="30">
        <v>44948</v>
      </c>
      <c r="B2" s="31">
        <v>45.712798731434759</v>
      </c>
      <c r="G2" t="s">
        <v>245</v>
      </c>
      <c r="H2" s="32">
        <f>_xlfn.FORECAST.ETS.STAT($B$2:$B$18,$A$2:$A$18,1,1,1)</f>
        <v>0.9</v>
      </c>
    </row>
    <row r="3" spans="1:8" x14ac:dyDescent="0.55000000000000004">
      <c r="A3" s="30">
        <v>44979</v>
      </c>
      <c r="B3" s="31">
        <v>72.350617798433547</v>
      </c>
      <c r="G3" t="s">
        <v>246</v>
      </c>
      <c r="H3" s="32">
        <f>_xlfn.FORECAST.ETS.STAT($B$2:$B$18,$A$2:$A$18,2,1,1)</f>
        <v>0.89900000000000002</v>
      </c>
    </row>
    <row r="4" spans="1:8" x14ac:dyDescent="0.55000000000000004">
      <c r="A4" s="30">
        <v>45007</v>
      </c>
      <c r="B4" s="31">
        <v>111.90056268960458</v>
      </c>
      <c r="G4" t="s">
        <v>247</v>
      </c>
      <c r="H4" s="32">
        <f>_xlfn.FORECAST.ETS.STAT($B$2:$B$18,$A$2:$A$18,3,1,1)</f>
        <v>2.2204460492503131E-16</v>
      </c>
    </row>
    <row r="5" spans="1:8" x14ac:dyDescent="0.55000000000000004">
      <c r="A5" s="30">
        <v>45038</v>
      </c>
      <c r="B5" s="31">
        <v>167.40444913303236</v>
      </c>
      <c r="G5" t="s">
        <v>248</v>
      </c>
      <c r="H5" s="32">
        <f>_xlfn.FORECAST.ETS.STAT($B$2:$B$18,$A$2:$A$18,4,1,1)</f>
        <v>0.10218914843662047</v>
      </c>
    </row>
    <row r="6" spans="1:8" x14ac:dyDescent="0.55000000000000004">
      <c r="A6" s="30">
        <v>45068</v>
      </c>
      <c r="B6" s="31">
        <v>239.43850654016259</v>
      </c>
      <c r="G6" t="s">
        <v>249</v>
      </c>
      <c r="H6" s="32">
        <f>_xlfn.FORECAST.ETS.STAT($B$2:$B$18,$A$2:$A$18,5,1,1)</f>
        <v>8.9074077632702257E-3</v>
      </c>
    </row>
    <row r="7" spans="1:8" x14ac:dyDescent="0.55000000000000004">
      <c r="A7" s="30">
        <v>45099</v>
      </c>
      <c r="B7" s="31">
        <v>323.99894775039195</v>
      </c>
      <c r="G7" t="s">
        <v>250</v>
      </c>
      <c r="H7" s="32">
        <f>_xlfn.FORECAST.ETS.STAT($B$2:$B$18,$A$2:$A$18,6,1,1)</f>
        <v>6.1508545890295636</v>
      </c>
    </row>
    <row r="8" spans="1:8" x14ac:dyDescent="0.55000000000000004">
      <c r="A8" s="30">
        <v>45129</v>
      </c>
      <c r="B8" s="31">
        <v>412.31900905029426</v>
      </c>
      <c r="G8" t="s">
        <v>251</v>
      </c>
      <c r="H8" s="32">
        <f>_xlfn.FORECAST.ETS.STAT($B$2:$B$18,$A$2:$A$18,7,1,1)</f>
        <v>7.4294216172004841</v>
      </c>
    </row>
    <row r="9" spans="1:8" x14ac:dyDescent="0.55000000000000004">
      <c r="A9" s="30">
        <v>45160</v>
      </c>
      <c r="B9" s="31">
        <v>493.99424788137514</v>
      </c>
    </row>
    <row r="10" spans="1:8" x14ac:dyDescent="0.55000000000000004">
      <c r="A10" s="30">
        <v>45191</v>
      </c>
      <c r="B10" s="31">
        <v>561.45033751607934</v>
      </c>
    </row>
    <row r="11" spans="1:8" x14ac:dyDescent="0.55000000000000004">
      <c r="A11" s="30">
        <v>45221</v>
      </c>
      <c r="B11" s="31">
        <v>612.1506128246599</v>
      </c>
    </row>
    <row r="12" spans="1:8" x14ac:dyDescent="0.55000000000000004">
      <c r="A12" s="30">
        <v>45252</v>
      </c>
      <c r="B12" s="31">
        <v>647.62158093881692</v>
      </c>
    </row>
    <row r="13" spans="1:8" x14ac:dyDescent="0.55000000000000004">
      <c r="A13" s="30">
        <v>45282</v>
      </c>
      <c r="B13" s="31">
        <v>671.2115253496122</v>
      </c>
    </row>
    <row r="14" spans="1:8" x14ac:dyDescent="0.55000000000000004">
      <c r="A14" s="30">
        <v>45313</v>
      </c>
      <c r="B14" s="31">
        <v>686.37575305856012</v>
      </c>
    </row>
    <row r="15" spans="1:8" x14ac:dyDescent="0.55000000000000004">
      <c r="A15" s="30">
        <v>45344</v>
      </c>
      <c r="B15" s="31">
        <v>695.91178823338214</v>
      </c>
    </row>
    <row r="16" spans="1:8" x14ac:dyDescent="0.55000000000000004">
      <c r="A16" s="30">
        <v>45373</v>
      </c>
      <c r="B16" s="31">
        <v>701.82587986351939</v>
      </c>
    </row>
    <row r="17" spans="1:5" x14ac:dyDescent="0.55000000000000004">
      <c r="A17" s="30">
        <v>45404</v>
      </c>
      <c r="B17" s="31">
        <v>705.46218529121825</v>
      </c>
    </row>
    <row r="18" spans="1:5" x14ac:dyDescent="0.55000000000000004">
      <c r="A18" s="30">
        <v>45434</v>
      </c>
      <c r="B18" s="31">
        <v>707.68613222247166</v>
      </c>
      <c r="C18" s="31">
        <v>707.68613222247166</v>
      </c>
      <c r="D18" s="31">
        <v>707.68613222247166</v>
      </c>
      <c r="E18" s="31">
        <v>707.68613222247166</v>
      </c>
    </row>
    <row r="19" spans="1:5" x14ac:dyDescent="0.55000000000000004">
      <c r="A19" s="30">
        <v>45465</v>
      </c>
      <c r="C19" s="31">
        <f>_xlfn.FORECAST.ETS(A19,$B$2:$B$18,$A$2:$A$18,1,1)</f>
        <v>709.96911190589083</v>
      </c>
      <c r="D19" s="31">
        <f>C19-_xlfn.FORECAST.ETS.CONFINT(A19,$B$2:$B$18,$A$2:$A$18,0.95,1,1)</f>
        <v>684.65571787836575</v>
      </c>
      <c r="E19" s="31">
        <f>C19+_xlfn.FORECAST.ETS.CONFINT(A19,$B$2:$B$18,$A$2:$A$18,0.95,1,1)</f>
        <v>735.28250593341591</v>
      </c>
    </row>
    <row r="20" spans="1:5" x14ac:dyDescent="0.55000000000000004">
      <c r="A20" s="30">
        <v>45495</v>
      </c>
      <c r="C20" s="31">
        <f>_xlfn.FORECAST.ETS(A20,$B$2:$B$18,$A$2:$A$18,1,1)</f>
        <v>712.10085084866409</v>
      </c>
      <c r="D20" s="31">
        <f>C20-_xlfn.FORECAST.ETS.CONFINT(A20,$B$2:$B$18,$A$2:$A$18,0.95,1,1)</f>
        <v>659.99950878184916</v>
      </c>
      <c r="E20" s="31">
        <f>C20+_xlfn.FORECAST.ETS.CONFINT(A20,$B$2:$B$18,$A$2:$A$18,0.95,1,1)</f>
        <v>764.20219291547903</v>
      </c>
    </row>
    <row r="21" spans="1:5" x14ac:dyDescent="0.55000000000000004">
      <c r="A21" s="30">
        <v>45526</v>
      </c>
      <c r="C21" s="31">
        <f>_xlfn.FORECAST.ETS(A21,$B$2:$B$18,$A$2:$A$18,1,1)</f>
        <v>714.23258979143736</v>
      </c>
      <c r="D21" s="31">
        <f>C21-_xlfn.FORECAST.ETS.CONFINT(A21,$B$2:$B$18,$A$2:$A$18,0.95,1,1)</f>
        <v>628.33247203212136</v>
      </c>
      <c r="E21" s="31">
        <f>C21+_xlfn.FORECAST.ETS.CONFINT(A21,$B$2:$B$18,$A$2:$A$18,0.95,1,1)</f>
        <v>800.13270755075337</v>
      </c>
    </row>
    <row r="22" spans="1:5" x14ac:dyDescent="0.55000000000000004">
      <c r="A22" s="30">
        <v>45557</v>
      </c>
      <c r="C22" s="31">
        <f>_xlfn.FORECAST.ETS(A22,$B$2:$B$18,$A$2:$A$18,1,1)</f>
        <v>716.36432873421063</v>
      </c>
      <c r="D22" s="31">
        <f>C22-_xlfn.FORECAST.ETS.CONFINT(A22,$B$2:$B$18,$A$2:$A$18,0.95,1,1)</f>
        <v>591.18706395429069</v>
      </c>
      <c r="E22" s="31">
        <f>C22+_xlfn.FORECAST.ETS.CONFINT(A22,$B$2:$B$18,$A$2:$A$18,0.95,1,1)</f>
        <v>841.54159351413057</v>
      </c>
    </row>
    <row r="23" spans="1:5" x14ac:dyDescent="0.55000000000000004">
      <c r="A23" s="30">
        <v>45587</v>
      </c>
      <c r="C23" s="31">
        <f>_xlfn.FORECAST.ETS(A23,$B$2:$B$18,$A$2:$A$18,1,1)</f>
        <v>718.4960676769839</v>
      </c>
      <c r="D23" s="31">
        <f>C23-_xlfn.FORECAST.ETS.CONFINT(A23,$B$2:$B$18,$A$2:$A$18,0.95,1,1)</f>
        <v>549.31616181283289</v>
      </c>
      <c r="E23" s="31">
        <f>C23+_xlfn.FORECAST.ETS.CONFINT(A23,$B$2:$B$18,$A$2:$A$18,0.95,1,1)</f>
        <v>887.67597354113491</v>
      </c>
    </row>
  </sheetData>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60F5B-026B-477E-B961-A4A54593B8F5}">
  <sheetPr>
    <tabColor rgb="FF00B050"/>
  </sheetPr>
  <dimension ref="A1:H26"/>
  <sheetViews>
    <sheetView zoomScale="48" workbookViewId="0">
      <selection activeCell="G1" sqref="G1:H8"/>
    </sheetView>
  </sheetViews>
  <sheetFormatPr defaultRowHeight="14.4" x14ac:dyDescent="0.55000000000000004"/>
  <cols>
    <col min="1" max="1" width="10.1015625" customWidth="1"/>
    <col min="3" max="3" width="15.41796875" customWidth="1"/>
    <col min="4" max="4" width="29.5234375" customWidth="1"/>
    <col min="5" max="5" width="29.68359375" customWidth="1"/>
    <col min="7" max="7" width="9.41796875" customWidth="1"/>
    <col min="8" max="8" width="7.68359375" customWidth="1"/>
  </cols>
  <sheetData>
    <row r="1" spans="1:8" x14ac:dyDescent="0.55000000000000004">
      <c r="A1" t="s">
        <v>15</v>
      </c>
      <c r="B1" t="s">
        <v>10</v>
      </c>
      <c r="C1" t="s">
        <v>252</v>
      </c>
      <c r="D1" t="s">
        <v>253</v>
      </c>
      <c r="E1" t="s">
        <v>254</v>
      </c>
      <c r="G1" t="s">
        <v>243</v>
      </c>
      <c r="H1" t="s">
        <v>244</v>
      </c>
    </row>
    <row r="2" spans="1:8" x14ac:dyDescent="0.55000000000000004">
      <c r="A2" s="30">
        <v>44948</v>
      </c>
      <c r="B2">
        <v>2988.6</v>
      </c>
      <c r="G2" t="s">
        <v>245</v>
      </c>
      <c r="H2" s="32">
        <f>_xlfn.FORECAST.ETS.STAT($B$2:$B$18,$A$2:$A$18,1,1,1)</f>
        <v>0.998</v>
      </c>
    </row>
    <row r="3" spans="1:8" x14ac:dyDescent="0.55000000000000004">
      <c r="A3" s="30">
        <v>44979</v>
      </c>
      <c r="B3">
        <v>3071.2</v>
      </c>
      <c r="G3" t="s">
        <v>246</v>
      </c>
      <c r="H3" s="32">
        <f>_xlfn.FORECAST.ETS.STAT($B$2:$B$18,$A$2:$A$18,2,1,1)</f>
        <v>1E-3</v>
      </c>
    </row>
    <row r="4" spans="1:8" x14ac:dyDescent="0.55000000000000004">
      <c r="A4" s="30">
        <v>45007</v>
      </c>
      <c r="B4">
        <v>3019.8</v>
      </c>
      <c r="G4" t="s">
        <v>247</v>
      </c>
      <c r="H4" s="32">
        <f>_xlfn.FORECAST.ETS.STAT($B$2:$B$18,$A$2:$A$18,3,1,1)</f>
        <v>1E-3</v>
      </c>
    </row>
    <row r="5" spans="1:8" x14ac:dyDescent="0.55000000000000004">
      <c r="A5" s="30">
        <v>45038</v>
      </c>
      <c r="B5">
        <v>3621</v>
      </c>
      <c r="G5" t="s">
        <v>248</v>
      </c>
      <c r="H5" s="32">
        <f>_xlfn.FORECAST.ETS.STAT($B$2:$B$18,$A$2:$A$18,4,1,1)</f>
        <v>0.49632672487360918</v>
      </c>
    </row>
    <row r="6" spans="1:8" x14ac:dyDescent="0.55000000000000004">
      <c r="A6" s="30">
        <v>45068</v>
      </c>
      <c r="B6">
        <v>3012</v>
      </c>
      <c r="G6" t="s">
        <v>249</v>
      </c>
      <c r="H6" s="32">
        <f>_xlfn.FORECAST.ETS.STAT($B$2:$B$18,$A$2:$A$18,5,1,1)</f>
        <v>4.437893143052335E-2</v>
      </c>
    </row>
    <row r="7" spans="1:8" x14ac:dyDescent="0.55000000000000004">
      <c r="A7" s="30">
        <v>45099</v>
      </c>
      <c r="B7">
        <v>3159</v>
      </c>
      <c r="G7" t="s">
        <v>250</v>
      </c>
      <c r="H7" s="32">
        <f>_xlfn.FORECAST.ETS.STAT($B$2:$B$18,$A$2:$A$18,6,1,1)</f>
        <v>151.0520754480342</v>
      </c>
    </row>
    <row r="8" spans="1:8" x14ac:dyDescent="0.55000000000000004">
      <c r="A8" s="30">
        <v>45129</v>
      </c>
      <c r="B8">
        <v>3126.2</v>
      </c>
      <c r="G8" t="s">
        <v>251</v>
      </c>
      <c r="H8" s="32">
        <f>_xlfn.FORECAST.ETS.STAT($B$2:$B$18,$A$2:$A$18,7,1,1)</f>
        <v>191.98875170993819</v>
      </c>
    </row>
    <row r="9" spans="1:8" x14ac:dyDescent="0.55000000000000004">
      <c r="A9" s="30">
        <v>45160</v>
      </c>
      <c r="B9">
        <v>3798</v>
      </c>
    </row>
    <row r="10" spans="1:8" x14ac:dyDescent="0.55000000000000004">
      <c r="A10" s="30">
        <v>45191</v>
      </c>
      <c r="B10">
        <v>3089</v>
      </c>
    </row>
    <row r="11" spans="1:8" x14ac:dyDescent="0.55000000000000004">
      <c r="A11" s="30">
        <v>45221</v>
      </c>
      <c r="B11">
        <v>3194</v>
      </c>
    </row>
    <row r="12" spans="1:8" x14ac:dyDescent="0.55000000000000004">
      <c r="A12" s="30">
        <v>45252</v>
      </c>
      <c r="B12">
        <v>3227.6</v>
      </c>
    </row>
    <row r="13" spans="1:8" x14ac:dyDescent="0.55000000000000004">
      <c r="A13" s="30">
        <v>45282</v>
      </c>
      <c r="B13">
        <v>3926</v>
      </c>
    </row>
    <row r="14" spans="1:8" x14ac:dyDescent="0.55000000000000004">
      <c r="A14" s="30">
        <v>45313</v>
      </c>
      <c r="B14">
        <v>3286.8</v>
      </c>
    </row>
    <row r="15" spans="1:8" x14ac:dyDescent="0.55000000000000004">
      <c r="A15" s="30">
        <v>45344</v>
      </c>
      <c r="B15">
        <v>3110</v>
      </c>
    </row>
    <row r="16" spans="1:8" x14ac:dyDescent="0.55000000000000004">
      <c r="A16" s="30">
        <v>45373</v>
      </c>
      <c r="B16">
        <v>3322</v>
      </c>
    </row>
    <row r="17" spans="1:5" x14ac:dyDescent="0.55000000000000004">
      <c r="A17" s="30">
        <v>45404</v>
      </c>
      <c r="B17">
        <v>4154</v>
      </c>
    </row>
    <row r="18" spans="1:5" x14ac:dyDescent="0.55000000000000004">
      <c r="A18" s="30">
        <v>45434</v>
      </c>
      <c r="B18">
        <v>3456</v>
      </c>
      <c r="C18">
        <v>3456</v>
      </c>
      <c r="D18" s="14">
        <v>3456</v>
      </c>
      <c r="E18" s="14">
        <v>3456</v>
      </c>
    </row>
    <row r="19" spans="1:5" x14ac:dyDescent="0.55000000000000004">
      <c r="A19" s="30">
        <v>45465</v>
      </c>
      <c r="C19">
        <f t="shared" ref="C19:C26" si="0">_xlfn.FORECAST.ETS(A19,$B$2:$B$18,$A$2:$A$18,1,1)</f>
        <v>3579.6981708894396</v>
      </c>
      <c r="D19" s="14">
        <f t="shared" ref="D19:D26" si="1">C19-_xlfn.FORECAST.ETS.CONFINT(A19,$B$2:$B$18,$A$2:$A$18,0.95,1,1)</f>
        <v>3347.1836913080888</v>
      </c>
      <c r="E19" s="14">
        <f t="shared" ref="E19:E26" si="2">C19+_xlfn.FORECAST.ETS.CONFINT(A19,$B$2:$B$18,$A$2:$A$18,0.95,1,1)</f>
        <v>3812.2126504707903</v>
      </c>
    </row>
    <row r="20" spans="1:5" x14ac:dyDescent="0.55000000000000004">
      <c r="A20" s="30">
        <v>45495</v>
      </c>
      <c r="C20">
        <f t="shared" si="0"/>
        <v>3563.7404307093625</v>
      </c>
      <c r="D20" s="14">
        <f t="shared" si="1"/>
        <v>3235.0796716788295</v>
      </c>
      <c r="E20" s="14">
        <f t="shared" si="2"/>
        <v>3892.4011897398955</v>
      </c>
    </row>
    <row r="21" spans="1:5" x14ac:dyDescent="0.55000000000000004">
      <c r="A21" s="30">
        <v>45526</v>
      </c>
      <c r="C21">
        <f t="shared" si="0"/>
        <v>4223.0001254529298</v>
      </c>
      <c r="D21" s="14">
        <f t="shared" si="1"/>
        <v>3820.4074308576196</v>
      </c>
      <c r="E21" s="14">
        <f t="shared" si="2"/>
        <v>4625.5928200482394</v>
      </c>
    </row>
    <row r="22" spans="1:5" x14ac:dyDescent="0.55000000000000004">
      <c r="A22" s="30">
        <v>45557</v>
      </c>
      <c r="C22">
        <f t="shared" si="0"/>
        <v>3566.0482026143795</v>
      </c>
      <c r="D22" s="14">
        <f t="shared" si="1"/>
        <v>3101.0191271944523</v>
      </c>
      <c r="E22" s="14">
        <f t="shared" si="2"/>
        <v>4031.0772780343068</v>
      </c>
    </row>
    <row r="23" spans="1:5" x14ac:dyDescent="0.55000000000000004">
      <c r="A23" s="30">
        <v>45587</v>
      </c>
      <c r="C23">
        <f t="shared" si="0"/>
        <v>3689.7463735038186</v>
      </c>
      <c r="D23" s="14">
        <f t="shared" si="1"/>
        <v>3169.5157624599879</v>
      </c>
      <c r="E23" s="14">
        <f t="shared" si="2"/>
        <v>4209.9769845476494</v>
      </c>
    </row>
    <row r="24" spans="1:5" x14ac:dyDescent="0.55000000000000004">
      <c r="A24" s="30">
        <v>45618</v>
      </c>
      <c r="C24">
        <f t="shared" si="0"/>
        <v>3673.788633323742</v>
      </c>
      <c r="D24" s="14">
        <f t="shared" si="1"/>
        <v>3103.6765949065875</v>
      </c>
      <c r="E24" s="14">
        <f t="shared" si="2"/>
        <v>4243.9006717408965</v>
      </c>
    </row>
    <row r="25" spans="1:5" x14ac:dyDescent="0.55000000000000004">
      <c r="A25" s="30">
        <v>45648</v>
      </c>
      <c r="C25">
        <f t="shared" si="0"/>
        <v>4333.0483280673088</v>
      </c>
      <c r="D25" s="14">
        <f t="shared" si="1"/>
        <v>3716.9930639581539</v>
      </c>
      <c r="E25" s="14">
        <f t="shared" si="2"/>
        <v>4949.1035921764633</v>
      </c>
    </row>
    <row r="26" spans="1:5" x14ac:dyDescent="0.55000000000000004">
      <c r="A26" s="30">
        <v>45679</v>
      </c>
      <c r="C26">
        <f t="shared" si="0"/>
        <v>3676.0964052287591</v>
      </c>
      <c r="D26" s="14">
        <f t="shared" si="1"/>
        <v>3017.2117013098432</v>
      </c>
      <c r="E26" s="14">
        <f t="shared" si="2"/>
        <v>4334.9811091476749</v>
      </c>
    </row>
  </sheetData>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7772-4BC5-48FE-9BEB-164ECF588514}">
  <sheetPr>
    <tabColor rgb="FF00B050"/>
  </sheetPr>
  <dimension ref="A1:H23"/>
  <sheetViews>
    <sheetView zoomScale="71" workbookViewId="0">
      <selection activeCell="F30" sqref="F30"/>
    </sheetView>
  </sheetViews>
  <sheetFormatPr defaultRowHeight="14.4" x14ac:dyDescent="0.55000000000000004"/>
  <cols>
    <col min="1" max="1" width="10.1015625" customWidth="1"/>
    <col min="3" max="3" width="16.7890625" customWidth="1"/>
    <col min="4" max="4" width="30.89453125" customWidth="1"/>
    <col min="5" max="5" width="31" customWidth="1"/>
    <col min="7" max="7" width="9.41796875" customWidth="1"/>
    <col min="8" max="8" width="7.68359375" customWidth="1"/>
  </cols>
  <sheetData>
    <row r="1" spans="1:8" x14ac:dyDescent="0.55000000000000004">
      <c r="A1" t="s">
        <v>15</v>
      </c>
      <c r="B1" t="s">
        <v>11</v>
      </c>
      <c r="C1" t="s">
        <v>255</v>
      </c>
      <c r="D1" t="s">
        <v>256</v>
      </c>
      <c r="E1" t="s">
        <v>257</v>
      </c>
      <c r="G1" t="s">
        <v>243</v>
      </c>
      <c r="H1" t="s">
        <v>244</v>
      </c>
    </row>
    <row r="2" spans="1:8" x14ac:dyDescent="0.55000000000000004">
      <c r="A2" s="30">
        <v>44948</v>
      </c>
      <c r="B2">
        <v>4630</v>
      </c>
      <c r="G2" t="s">
        <v>245</v>
      </c>
      <c r="H2" s="32">
        <f>_xlfn.FORECAST.ETS.STAT($B$2:$B$18,$A$2:$A$18,1,1,1)</f>
        <v>0.5</v>
      </c>
    </row>
    <row r="3" spans="1:8" x14ac:dyDescent="0.55000000000000004">
      <c r="A3" s="30">
        <v>44979</v>
      </c>
      <c r="B3">
        <v>4900</v>
      </c>
      <c r="G3" t="s">
        <v>246</v>
      </c>
      <c r="H3" s="32">
        <f>_xlfn.FORECAST.ETS.STAT($B$2:$B$18,$A$2:$A$18,2,1,1)</f>
        <v>1E-3</v>
      </c>
    </row>
    <row r="4" spans="1:8" x14ac:dyDescent="0.55000000000000004">
      <c r="A4" s="30">
        <v>45007</v>
      </c>
      <c r="B4">
        <v>5267</v>
      </c>
      <c r="G4" t="s">
        <v>247</v>
      </c>
      <c r="H4" s="32">
        <f>_xlfn.FORECAST.ETS.STAT($B$2:$B$18,$A$2:$A$18,3,1,1)</f>
        <v>2.2204460492503131E-16</v>
      </c>
    </row>
    <row r="5" spans="1:8" x14ac:dyDescent="0.55000000000000004">
      <c r="A5" s="30">
        <v>45038</v>
      </c>
      <c r="B5">
        <v>5400</v>
      </c>
      <c r="G5" t="s">
        <v>248</v>
      </c>
      <c r="H5" s="32">
        <f>_xlfn.FORECAST.ETS.STAT($B$2:$B$18,$A$2:$A$18,4,1,1)</f>
        <v>0.24623899431190133</v>
      </c>
    </row>
    <row r="6" spans="1:8" x14ac:dyDescent="0.55000000000000004">
      <c r="A6" s="30">
        <v>45068</v>
      </c>
      <c r="B6">
        <v>5612</v>
      </c>
      <c r="G6" t="s">
        <v>249</v>
      </c>
      <c r="H6" s="32">
        <f>_xlfn.FORECAST.ETS.STAT($B$2:$B$18,$A$2:$A$18,5,1,1)</f>
        <v>6.795636432103843E-3</v>
      </c>
    </row>
    <row r="7" spans="1:8" x14ac:dyDescent="0.55000000000000004">
      <c r="A7" s="30">
        <v>45099</v>
      </c>
      <c r="B7">
        <v>5714</v>
      </c>
      <c r="G7" t="s">
        <v>250</v>
      </c>
      <c r="H7" s="32">
        <f>_xlfn.FORECAST.ETS.STAT($B$2:$B$18,$A$2:$A$18,6,1,1)</f>
        <v>50.922224023701197</v>
      </c>
    </row>
    <row r="8" spans="1:8" x14ac:dyDescent="0.55000000000000004">
      <c r="A8" s="30">
        <v>45129</v>
      </c>
      <c r="B8">
        <v>5923</v>
      </c>
      <c r="G8" t="s">
        <v>251</v>
      </c>
      <c r="H8" s="32">
        <f>_xlfn.FORECAST.ETS.STAT($B$2:$B$18,$A$2:$A$18,7,1,1)</f>
        <v>61.600885766345307</v>
      </c>
    </row>
    <row r="9" spans="1:8" x14ac:dyDescent="0.55000000000000004">
      <c r="A9" s="30">
        <v>45160</v>
      </c>
      <c r="B9">
        <v>6245</v>
      </c>
    </row>
    <row r="10" spans="1:8" x14ac:dyDescent="0.55000000000000004">
      <c r="A10" s="30">
        <v>45191</v>
      </c>
      <c r="B10">
        <v>6332</v>
      </c>
    </row>
    <row r="11" spans="1:8" x14ac:dyDescent="0.55000000000000004">
      <c r="A11" s="30">
        <v>45221</v>
      </c>
      <c r="B11">
        <v>6471</v>
      </c>
    </row>
    <row r="12" spans="1:8" x14ac:dyDescent="0.55000000000000004">
      <c r="A12" s="30">
        <v>45252</v>
      </c>
      <c r="B12">
        <v>6698</v>
      </c>
    </row>
    <row r="13" spans="1:8" x14ac:dyDescent="0.55000000000000004">
      <c r="A13" s="30">
        <v>45282</v>
      </c>
      <c r="B13">
        <v>6934</v>
      </c>
    </row>
    <row r="14" spans="1:8" x14ac:dyDescent="0.55000000000000004">
      <c r="A14" s="30">
        <v>45313</v>
      </c>
      <c r="B14">
        <v>7198</v>
      </c>
    </row>
    <row r="15" spans="1:8" x14ac:dyDescent="0.55000000000000004">
      <c r="A15" s="30">
        <v>45344</v>
      </c>
      <c r="B15">
        <v>7376</v>
      </c>
    </row>
    <row r="16" spans="1:8" x14ac:dyDescent="0.55000000000000004">
      <c r="A16" s="30">
        <v>45373</v>
      </c>
      <c r="B16">
        <v>7560</v>
      </c>
    </row>
    <row r="17" spans="1:5" x14ac:dyDescent="0.55000000000000004">
      <c r="A17" s="30">
        <v>45404</v>
      </c>
      <c r="B17">
        <v>7692</v>
      </c>
    </row>
    <row r="18" spans="1:5" x14ac:dyDescent="0.55000000000000004">
      <c r="A18" s="30">
        <v>45434</v>
      </c>
      <c r="B18">
        <v>7823</v>
      </c>
      <c r="C18">
        <v>7823</v>
      </c>
      <c r="D18" s="14">
        <v>7823</v>
      </c>
      <c r="E18" s="14">
        <v>7823</v>
      </c>
    </row>
    <row r="19" spans="1:5" x14ac:dyDescent="0.55000000000000004">
      <c r="A19" s="30">
        <v>45465</v>
      </c>
      <c r="C19">
        <f>_xlfn.FORECAST.ETS(A19,$B$2:$B$18,$A$2:$A$18,1,1)</f>
        <v>8070.5488087644453</v>
      </c>
      <c r="D19" s="14">
        <f>C19-_xlfn.FORECAST.ETS.CONFINT(A19,$B$2:$B$18,$A$2:$A$18,0.95,1,1)</f>
        <v>7917.99788574165</v>
      </c>
      <c r="E19" s="14">
        <f>C19+_xlfn.FORECAST.ETS.CONFINT(A19,$B$2:$B$18,$A$2:$A$18,0.95,1,1)</f>
        <v>8223.0997317872407</v>
      </c>
    </row>
    <row r="20" spans="1:5" x14ac:dyDescent="0.55000000000000004">
      <c r="A20" s="30">
        <v>45495</v>
      </c>
      <c r="C20">
        <f>_xlfn.FORECAST.ETS(A20,$B$2:$B$18,$A$2:$A$18,1,1)</f>
        <v>8268.0312347258387</v>
      </c>
      <c r="D20" s="14">
        <f>C20-_xlfn.FORECAST.ETS.CONFINT(A20,$B$2:$B$18,$A$2:$A$18,0.95,1,1)</f>
        <v>8097.4058403679564</v>
      </c>
      <c r="E20" s="14">
        <f>C20+_xlfn.FORECAST.ETS.CONFINT(A20,$B$2:$B$18,$A$2:$A$18,0.95,1,1)</f>
        <v>8438.6566290837218</v>
      </c>
    </row>
    <row r="21" spans="1:5" x14ac:dyDescent="0.55000000000000004">
      <c r="A21" s="30">
        <v>45526</v>
      </c>
      <c r="C21">
        <f>_xlfn.FORECAST.ETS(A21,$B$2:$B$18,$A$2:$A$18,1,1)</f>
        <v>8465.5136606872311</v>
      </c>
      <c r="D21" s="14">
        <f>C21-_xlfn.FORECAST.ETS.CONFINT(A21,$B$2:$B$18,$A$2:$A$18,0.95,1,1)</f>
        <v>8278.4906463710086</v>
      </c>
      <c r="E21" s="14">
        <f>C21+_xlfn.FORECAST.ETS.CONFINT(A21,$B$2:$B$18,$A$2:$A$18,0.95,1,1)</f>
        <v>8652.5366750034536</v>
      </c>
    </row>
    <row r="22" spans="1:5" x14ac:dyDescent="0.55000000000000004">
      <c r="A22" s="30">
        <v>45557</v>
      </c>
      <c r="C22">
        <f>_xlfn.FORECAST.ETS(A22,$B$2:$B$18,$A$2:$A$18,1,1)</f>
        <v>8662.9960866486235</v>
      </c>
      <c r="D22" s="14">
        <f>C22-_xlfn.FORECAST.ETS.CONFINT(A22,$B$2:$B$18,$A$2:$A$18,0.95,1,1)</f>
        <v>8460.8437215595513</v>
      </c>
      <c r="E22" s="14">
        <f>C22+_xlfn.FORECAST.ETS.CONFINT(A22,$B$2:$B$18,$A$2:$A$18,0.95,1,1)</f>
        <v>8865.1484517376957</v>
      </c>
    </row>
    <row r="23" spans="1:5" x14ac:dyDescent="0.55000000000000004">
      <c r="A23" s="30">
        <v>45587</v>
      </c>
      <c r="C23">
        <f>_xlfn.FORECAST.ETS(A23,$B$2:$B$18,$A$2:$A$18,1,1)</f>
        <v>8860.4785126100178</v>
      </c>
      <c r="D23" s="14">
        <f>C23-_xlfn.FORECAST.ETS.CONFINT(A23,$B$2:$B$18,$A$2:$A$18,0.95,1,1)</f>
        <v>8644.1986378530528</v>
      </c>
      <c r="E23" s="14">
        <f>C23+_xlfn.FORECAST.ETS.CONFINT(A23,$B$2:$B$18,$A$2:$A$18,0.95,1,1)</f>
        <v>9076.7583873669828</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92E34-6EBB-4E94-A452-B86B7B7B342F}">
  <sheetPr>
    <tabColor rgb="FF00B050"/>
  </sheetPr>
  <dimension ref="A1:H23"/>
  <sheetViews>
    <sheetView zoomScale="40" workbookViewId="0">
      <selection activeCell="G1" sqref="G1:H8"/>
    </sheetView>
  </sheetViews>
  <sheetFormatPr defaultRowHeight="14.4" x14ac:dyDescent="0.55000000000000004"/>
  <cols>
    <col min="1" max="1" width="10.1015625" customWidth="1"/>
    <col min="2" max="2" width="16.41796875" customWidth="1"/>
    <col min="3" max="3" width="24.7890625" customWidth="1"/>
    <col min="4" max="4" width="38.89453125" customWidth="1"/>
    <col min="5" max="5" width="39" customWidth="1"/>
    <col min="7" max="7" width="9.41796875" customWidth="1"/>
    <col min="8" max="8" width="7.68359375" customWidth="1"/>
  </cols>
  <sheetData>
    <row r="1" spans="1:8" x14ac:dyDescent="0.55000000000000004">
      <c r="A1" t="s">
        <v>15</v>
      </c>
      <c r="B1" t="s">
        <v>12</v>
      </c>
      <c r="C1" t="s">
        <v>258</v>
      </c>
      <c r="D1" t="s">
        <v>259</v>
      </c>
      <c r="E1" t="s">
        <v>260</v>
      </c>
      <c r="G1" t="s">
        <v>243</v>
      </c>
      <c r="H1" t="s">
        <v>244</v>
      </c>
    </row>
    <row r="2" spans="1:8" x14ac:dyDescent="0.55000000000000004">
      <c r="A2" s="30">
        <v>44948</v>
      </c>
      <c r="B2">
        <v>234</v>
      </c>
      <c r="G2" t="s">
        <v>245</v>
      </c>
      <c r="H2" s="32">
        <f>_xlfn.FORECAST.ETS.STAT($B$2:$B$18,$A$2:$A$18,1,1,1)</f>
        <v>0.25</v>
      </c>
    </row>
    <row r="3" spans="1:8" x14ac:dyDescent="0.55000000000000004">
      <c r="A3" s="30">
        <v>44979</v>
      </c>
      <c r="B3">
        <v>301</v>
      </c>
      <c r="G3" t="s">
        <v>246</v>
      </c>
      <c r="H3" s="32">
        <f>_xlfn.FORECAST.ETS.STAT($B$2:$B$18,$A$2:$A$18,2,1,1)</f>
        <v>0.249</v>
      </c>
    </row>
    <row r="4" spans="1:8" x14ac:dyDescent="0.55000000000000004">
      <c r="A4" s="30">
        <v>45007</v>
      </c>
      <c r="B4">
        <v>403</v>
      </c>
      <c r="G4" t="s">
        <v>247</v>
      </c>
      <c r="H4" s="32">
        <f>_xlfn.FORECAST.ETS.STAT($B$2:$B$18,$A$2:$A$18,3,1,1)</f>
        <v>2.2204460492503131E-16</v>
      </c>
    </row>
    <row r="5" spans="1:8" x14ac:dyDescent="0.55000000000000004">
      <c r="A5" s="30">
        <v>45038</v>
      </c>
      <c r="B5">
        <v>867</v>
      </c>
      <c r="G5" t="s">
        <v>248</v>
      </c>
      <c r="H5" s="32">
        <f>_xlfn.FORECAST.ETS.STAT($B$2:$B$18,$A$2:$A$18,4,1,1)</f>
        <v>0.15406830913563005</v>
      </c>
    </row>
    <row r="6" spans="1:8" x14ac:dyDescent="0.55000000000000004">
      <c r="A6" s="30">
        <v>45068</v>
      </c>
      <c r="B6">
        <v>1212</v>
      </c>
      <c r="G6" t="s">
        <v>249</v>
      </c>
      <c r="H6" s="32">
        <f>_xlfn.FORECAST.ETS.STAT($B$2:$B$18,$A$2:$A$18,5,1,1)</f>
        <v>9.7604847366602864E-3</v>
      </c>
    </row>
    <row r="7" spans="1:8" x14ac:dyDescent="0.55000000000000004">
      <c r="A7" s="30">
        <v>45099</v>
      </c>
      <c r="B7">
        <v>1489</v>
      </c>
      <c r="G7" t="s">
        <v>250</v>
      </c>
      <c r="H7" s="32">
        <f>_xlfn.FORECAST.ETS.STAT($B$2:$B$18,$A$2:$A$18,6,1,1)</f>
        <v>58.207007191441029</v>
      </c>
    </row>
    <row r="8" spans="1:8" x14ac:dyDescent="0.55000000000000004">
      <c r="A8" s="30">
        <v>45129</v>
      </c>
      <c r="B8">
        <v>2021</v>
      </c>
      <c r="G8" t="s">
        <v>251</v>
      </c>
      <c r="H8" s="32">
        <f>_xlfn.FORECAST.ETS.STAT($B$2:$B$18,$A$2:$A$18,7,1,1)</f>
        <v>65.39269582413894</v>
      </c>
    </row>
    <row r="9" spans="1:8" x14ac:dyDescent="0.55000000000000004">
      <c r="A9" s="30">
        <v>45160</v>
      </c>
      <c r="B9">
        <v>2478</v>
      </c>
    </row>
    <row r="10" spans="1:8" x14ac:dyDescent="0.55000000000000004">
      <c r="A10" s="30">
        <v>45191</v>
      </c>
      <c r="B10">
        <v>2997</v>
      </c>
    </row>
    <row r="11" spans="1:8" x14ac:dyDescent="0.55000000000000004">
      <c r="A11" s="30">
        <v>45221</v>
      </c>
      <c r="B11">
        <v>3578</v>
      </c>
    </row>
    <row r="12" spans="1:8" x14ac:dyDescent="0.55000000000000004">
      <c r="A12" s="30">
        <v>45252</v>
      </c>
      <c r="B12">
        <v>4012</v>
      </c>
    </row>
    <row r="13" spans="1:8" x14ac:dyDescent="0.55000000000000004">
      <c r="A13" s="30">
        <v>45282</v>
      </c>
      <c r="B13">
        <v>4687</v>
      </c>
    </row>
    <row r="14" spans="1:8" x14ac:dyDescent="0.55000000000000004">
      <c r="A14" s="30">
        <v>45313</v>
      </c>
      <c r="B14">
        <v>5289</v>
      </c>
    </row>
    <row r="15" spans="1:8" x14ac:dyDescent="0.55000000000000004">
      <c r="A15" s="30">
        <v>45344</v>
      </c>
      <c r="B15">
        <v>6023</v>
      </c>
    </row>
    <row r="16" spans="1:8" x14ac:dyDescent="0.55000000000000004">
      <c r="A16" s="30">
        <v>45373</v>
      </c>
      <c r="B16">
        <v>6598</v>
      </c>
    </row>
    <row r="17" spans="1:5" x14ac:dyDescent="0.55000000000000004">
      <c r="A17" s="30">
        <v>45404</v>
      </c>
      <c r="B17">
        <v>7278</v>
      </c>
    </row>
    <row r="18" spans="1:5" x14ac:dyDescent="0.55000000000000004">
      <c r="A18" s="30">
        <v>45434</v>
      </c>
      <c r="B18">
        <v>8034</v>
      </c>
      <c r="C18">
        <v>8034</v>
      </c>
      <c r="D18" s="14">
        <v>8034</v>
      </c>
      <c r="E18" s="14">
        <v>8034</v>
      </c>
    </row>
    <row r="19" spans="1:5" x14ac:dyDescent="0.55000000000000004">
      <c r="A19" s="30">
        <v>45465</v>
      </c>
      <c r="C19">
        <f>_xlfn.FORECAST.ETS(A19,$B$2:$B$18,$A$2:$A$18,1,1)</f>
        <v>8667.7574875937808</v>
      </c>
      <c r="D19" s="14">
        <f>C19-_xlfn.FORECAST.ETS.CONFINT(A19,$B$2:$B$18,$A$2:$A$18,0.95,1,1)</f>
        <v>8104.0384451192749</v>
      </c>
      <c r="E19" s="14">
        <f>C19+_xlfn.FORECAST.ETS.CONFINT(A19,$B$2:$B$18,$A$2:$A$18,0.95,1,1)</f>
        <v>9231.4765300682866</v>
      </c>
    </row>
    <row r="20" spans="1:5" x14ac:dyDescent="0.55000000000000004">
      <c r="A20" s="30">
        <v>45495</v>
      </c>
      <c r="C20">
        <f>_xlfn.FORECAST.ETS(A20,$B$2:$B$18,$A$2:$A$18,1,1)</f>
        <v>9344.5079868166613</v>
      </c>
      <c r="D20" s="14">
        <f>C20-_xlfn.FORECAST.ETS.CONFINT(A20,$B$2:$B$18,$A$2:$A$18,0.95,1,1)</f>
        <v>8714.5028382815271</v>
      </c>
      <c r="E20" s="14">
        <f>C20+_xlfn.FORECAST.ETS.CONFINT(A20,$B$2:$B$18,$A$2:$A$18,0.95,1,1)</f>
        <v>9974.5131353517954</v>
      </c>
    </row>
    <row r="21" spans="1:5" x14ac:dyDescent="0.55000000000000004">
      <c r="A21" s="30">
        <v>45526</v>
      </c>
      <c r="C21">
        <f>_xlfn.FORECAST.ETS(A21,$B$2:$B$18,$A$2:$A$18,1,1)</f>
        <v>10021.258486039542</v>
      </c>
      <c r="D21" s="14">
        <f>C21-_xlfn.FORECAST.ETS.CONFINT(A21,$B$2:$B$18,$A$2:$A$18,0.95,1,1)</f>
        <v>9263.1653534541856</v>
      </c>
      <c r="E21" s="14">
        <f>C21+_xlfn.FORECAST.ETS.CONFINT(A21,$B$2:$B$18,$A$2:$A$18,0.95,1,1)</f>
        <v>10779.351618624898</v>
      </c>
    </row>
    <row r="22" spans="1:5" x14ac:dyDescent="0.55000000000000004">
      <c r="A22" s="30">
        <v>45557</v>
      </c>
      <c r="C22">
        <f>_xlfn.FORECAST.ETS(A22,$B$2:$B$18,$A$2:$A$18,1,1)</f>
        <v>10698.008985262422</v>
      </c>
      <c r="D22" s="14">
        <f>C22-_xlfn.FORECAST.ETS.CONFINT(A22,$B$2:$B$18,$A$2:$A$18,0.95,1,1)</f>
        <v>9754.3032357934517</v>
      </c>
      <c r="E22" s="14">
        <f>C22+_xlfn.FORECAST.ETS.CONFINT(A22,$B$2:$B$18,$A$2:$A$18,0.95,1,1)</f>
        <v>11641.714734731393</v>
      </c>
    </row>
    <row r="23" spans="1:5" x14ac:dyDescent="0.55000000000000004">
      <c r="A23" s="30">
        <v>45587</v>
      </c>
      <c r="C23">
        <f>_xlfn.FORECAST.ETS(A23,$B$2:$B$18,$A$2:$A$18,1,1)</f>
        <v>11374.759484485303</v>
      </c>
      <c r="D23" s="14">
        <f>C23-_xlfn.FORECAST.ETS.CONFINT(A23,$B$2:$B$18,$A$2:$A$18,0.95,1,1)</f>
        <v>10198.350639670103</v>
      </c>
      <c r="E23" s="14">
        <f>C23+_xlfn.FORECAST.ETS.CONFINT(A23,$B$2:$B$18,$A$2:$A$18,0.95,1,1)</f>
        <v>12551.168329300503</v>
      </c>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DB84-3788-4398-8480-8AC8E9AF0757}">
  <dimension ref="A1:F54"/>
  <sheetViews>
    <sheetView zoomScale="75" workbookViewId="0">
      <selection activeCell="E16" sqref="E16"/>
    </sheetView>
  </sheetViews>
  <sheetFormatPr defaultRowHeight="14.4" x14ac:dyDescent="0.55000000000000004"/>
  <cols>
    <col min="1" max="1" width="8.89453125" bestFit="1" customWidth="1"/>
    <col min="2" max="2" width="10" bestFit="1" customWidth="1"/>
    <col min="3" max="3" width="16.26171875" bestFit="1" customWidth="1"/>
    <col min="4" max="4" width="13.62890625" bestFit="1" customWidth="1"/>
    <col min="5" max="5" width="21.5234375" bestFit="1" customWidth="1"/>
    <col min="6" max="6" width="13.68359375" bestFit="1" customWidth="1"/>
  </cols>
  <sheetData>
    <row r="1" spans="1:6" x14ac:dyDescent="0.55000000000000004">
      <c r="A1" s="13" t="s">
        <v>377</v>
      </c>
    </row>
    <row r="3" spans="1:6" x14ac:dyDescent="0.55000000000000004">
      <c r="A3" t="s">
        <v>0</v>
      </c>
      <c r="B3" t="s">
        <v>1</v>
      </c>
      <c r="C3" t="s">
        <v>268</v>
      </c>
      <c r="D3" t="s">
        <v>269</v>
      </c>
      <c r="E3" t="s">
        <v>270</v>
      </c>
      <c r="F3" t="s">
        <v>271</v>
      </c>
    </row>
    <row r="4" spans="1:6" x14ac:dyDescent="0.55000000000000004">
      <c r="A4">
        <v>2014</v>
      </c>
      <c r="B4" t="s">
        <v>70</v>
      </c>
      <c r="C4">
        <v>324136.22244639997</v>
      </c>
      <c r="D4">
        <v>39741.919447775996</v>
      </c>
      <c r="E4">
        <v>0.14043802499999997</v>
      </c>
      <c r="F4">
        <v>0.12260869565217392</v>
      </c>
    </row>
    <row r="5" spans="1:6" x14ac:dyDescent="0.55000000000000004">
      <c r="A5">
        <v>2014</v>
      </c>
      <c r="B5" t="s">
        <v>66</v>
      </c>
      <c r="C5">
        <v>199200</v>
      </c>
      <c r="D5">
        <v>20576</v>
      </c>
      <c r="E5">
        <v>16</v>
      </c>
      <c r="F5">
        <v>0.10329317269076305</v>
      </c>
    </row>
    <row r="6" spans="1:6" x14ac:dyDescent="0.55000000000000004">
      <c r="A6">
        <v>2015</v>
      </c>
      <c r="B6" t="s">
        <v>68</v>
      </c>
      <c r="C6">
        <v>250680</v>
      </c>
      <c r="D6">
        <v>61864</v>
      </c>
      <c r="E6">
        <v>0.04</v>
      </c>
      <c r="F6">
        <v>0.24678474549226104</v>
      </c>
    </row>
    <row r="7" spans="1:6" x14ac:dyDescent="0.55000000000000004">
      <c r="A7">
        <v>2016</v>
      </c>
      <c r="B7" t="s">
        <v>72</v>
      </c>
      <c r="C7">
        <v>130720</v>
      </c>
      <c r="D7">
        <v>32680</v>
      </c>
      <c r="E7">
        <v>0.1138</v>
      </c>
      <c r="F7">
        <v>0.25</v>
      </c>
    </row>
    <row r="8" spans="1:6" x14ac:dyDescent="0.55000000000000004">
      <c r="A8">
        <v>2010</v>
      </c>
      <c r="B8" t="s">
        <v>5</v>
      </c>
      <c r="C8">
        <v>12450</v>
      </c>
      <c r="D8">
        <v>-23587</v>
      </c>
      <c r="E8">
        <v>0.02</v>
      </c>
      <c r="F8">
        <v>-1.8945381526104417</v>
      </c>
    </row>
    <row r="9" spans="1:6" x14ac:dyDescent="0.55000000000000004">
      <c r="A9">
        <v>2011</v>
      </c>
      <c r="B9" t="s">
        <v>5</v>
      </c>
      <c r="C9">
        <v>24900</v>
      </c>
      <c r="D9">
        <v>-10341</v>
      </c>
      <c r="E9">
        <v>0.04</v>
      </c>
      <c r="F9">
        <v>-0.41530120481927713</v>
      </c>
    </row>
    <row r="10" spans="1:6" x14ac:dyDescent="0.55000000000000004">
      <c r="A10">
        <v>2012</v>
      </c>
      <c r="B10" t="s">
        <v>5</v>
      </c>
      <c r="C10">
        <v>49800</v>
      </c>
      <c r="D10">
        <v>-1943</v>
      </c>
      <c r="E10">
        <v>7.0000000000000007E-2</v>
      </c>
      <c r="F10">
        <v>-3.901606425702811E-2</v>
      </c>
    </row>
    <row r="11" spans="1:6" x14ac:dyDescent="0.55000000000000004">
      <c r="A11">
        <v>2013</v>
      </c>
      <c r="B11" t="s">
        <v>5</v>
      </c>
      <c r="C11">
        <v>99600</v>
      </c>
      <c r="D11">
        <v>11632</v>
      </c>
      <c r="E11">
        <v>0.13</v>
      </c>
      <c r="F11">
        <v>0.11678714859437751</v>
      </c>
    </row>
    <row r="12" spans="1:6" x14ac:dyDescent="0.55000000000000004">
      <c r="A12">
        <v>2015</v>
      </c>
      <c r="B12" t="s">
        <v>5</v>
      </c>
      <c r="C12">
        <v>398400</v>
      </c>
      <c r="D12">
        <v>43734</v>
      </c>
      <c r="E12">
        <v>0.18</v>
      </c>
      <c r="F12">
        <v>0.10977409638554217</v>
      </c>
    </row>
    <row r="13" spans="1:6" x14ac:dyDescent="0.55000000000000004">
      <c r="A13">
        <v>2016</v>
      </c>
      <c r="B13" t="s">
        <v>5</v>
      </c>
      <c r="C13">
        <v>426732</v>
      </c>
      <c r="D13">
        <v>60182</v>
      </c>
      <c r="E13">
        <v>0.19</v>
      </c>
      <c r="F13">
        <v>0.1410299672862593</v>
      </c>
    </row>
    <row r="14" spans="1:6" x14ac:dyDescent="0.55000000000000004">
      <c r="A14">
        <v>2017</v>
      </c>
      <c r="B14" t="s">
        <v>5</v>
      </c>
      <c r="C14">
        <v>452782</v>
      </c>
      <c r="D14">
        <v>83812</v>
      </c>
      <c r="E14">
        <v>0.17</v>
      </c>
      <c r="F14">
        <v>0.18510453154056478</v>
      </c>
    </row>
    <row r="15" spans="1:6" x14ac:dyDescent="0.55000000000000004">
      <c r="A15">
        <v>2018</v>
      </c>
      <c r="B15" t="s">
        <v>5</v>
      </c>
      <c r="C15">
        <v>478123</v>
      </c>
      <c r="D15">
        <v>93672</v>
      </c>
      <c r="E15">
        <v>0.2</v>
      </c>
      <c r="F15">
        <v>0.1959161136360309</v>
      </c>
    </row>
    <row r="16" spans="1:6" x14ac:dyDescent="0.55000000000000004">
      <c r="A16">
        <v>2019</v>
      </c>
      <c r="B16" t="s">
        <v>5</v>
      </c>
      <c r="C16">
        <v>492823</v>
      </c>
      <c r="D16">
        <v>108352</v>
      </c>
      <c r="E16">
        <v>0.19</v>
      </c>
      <c r="F16">
        <v>0.21985986855321282</v>
      </c>
    </row>
    <row r="17" spans="1:6" x14ac:dyDescent="0.55000000000000004">
      <c r="A17">
        <v>2010</v>
      </c>
      <c r="B17" t="s">
        <v>6</v>
      </c>
      <c r="C17">
        <v>235888</v>
      </c>
      <c r="D17">
        <v>63823</v>
      </c>
      <c r="E17">
        <v>0.05</v>
      </c>
      <c r="F17">
        <v>0.27056484433290373</v>
      </c>
    </row>
    <row r="18" spans="1:6" x14ac:dyDescent="0.55000000000000004">
      <c r="A18">
        <v>2011</v>
      </c>
      <c r="B18" t="s">
        <v>6</v>
      </c>
      <c r="C18">
        <v>203024</v>
      </c>
      <c r="D18">
        <v>60289</v>
      </c>
      <c r="E18">
        <v>7.0000000000000007E-2</v>
      </c>
      <c r="F18">
        <v>0.29695503979825044</v>
      </c>
    </row>
    <row r="19" spans="1:6" x14ac:dyDescent="0.55000000000000004">
      <c r="A19">
        <v>2013</v>
      </c>
      <c r="B19" t="s">
        <v>6</v>
      </c>
      <c r="C19">
        <v>246739</v>
      </c>
      <c r="D19">
        <v>62340</v>
      </c>
      <c r="E19">
        <v>0.06</v>
      </c>
      <c r="F19">
        <v>0.25265564017038245</v>
      </c>
    </row>
    <row r="20" spans="1:6" x14ac:dyDescent="0.55000000000000004">
      <c r="A20">
        <v>2014</v>
      </c>
      <c r="B20" t="s">
        <v>6</v>
      </c>
      <c r="C20">
        <v>224898</v>
      </c>
      <c r="D20">
        <v>59786</v>
      </c>
      <c r="E20">
        <v>0.06</v>
      </c>
      <c r="F20">
        <v>0.26583606790633979</v>
      </c>
    </row>
    <row r="21" spans="1:6" x14ac:dyDescent="0.55000000000000004">
      <c r="A21">
        <v>2016</v>
      </c>
      <c r="B21" t="s">
        <v>6</v>
      </c>
      <c r="C21">
        <v>209309</v>
      </c>
      <c r="D21">
        <v>58234</v>
      </c>
      <c r="E21">
        <v>0.05</v>
      </c>
      <c r="F21">
        <v>0.27822023897682374</v>
      </c>
    </row>
    <row r="22" spans="1:6" x14ac:dyDescent="0.55000000000000004">
      <c r="A22">
        <v>2017</v>
      </c>
      <c r="B22" t="s">
        <v>6</v>
      </c>
      <c r="C22">
        <v>235713</v>
      </c>
      <c r="D22">
        <v>62890</v>
      </c>
      <c r="E22">
        <v>0.05</v>
      </c>
      <c r="F22">
        <v>0.2668075159197838</v>
      </c>
    </row>
    <row r="23" spans="1:6" x14ac:dyDescent="0.55000000000000004">
      <c r="A23">
        <v>2018</v>
      </c>
      <c r="B23" t="s">
        <v>6</v>
      </c>
      <c r="C23">
        <v>232016</v>
      </c>
      <c r="D23">
        <v>63276</v>
      </c>
      <c r="E23">
        <v>0.06</v>
      </c>
      <c r="F23">
        <v>0.27272257085718227</v>
      </c>
    </row>
    <row r="24" spans="1:6" x14ac:dyDescent="0.55000000000000004">
      <c r="A24">
        <v>2019</v>
      </c>
      <c r="B24" t="s">
        <v>6</v>
      </c>
      <c r="C24">
        <v>210222</v>
      </c>
      <c r="D24">
        <v>60780</v>
      </c>
      <c r="E24">
        <v>0.04</v>
      </c>
      <c r="F24">
        <v>0.28912292719125499</v>
      </c>
    </row>
    <row r="25" spans="1:6" x14ac:dyDescent="0.55000000000000004">
      <c r="A25">
        <v>2012</v>
      </c>
      <c r="B25" t="s">
        <v>67</v>
      </c>
      <c r="C25">
        <v>226570</v>
      </c>
      <c r="D25">
        <v>61902</v>
      </c>
      <c r="E25">
        <v>0.04</v>
      </c>
      <c r="F25">
        <v>0.27321357637816129</v>
      </c>
    </row>
    <row r="26" spans="1:6" x14ac:dyDescent="0.55000000000000004">
      <c r="A26">
        <v>2010</v>
      </c>
      <c r="B26" t="s">
        <v>7</v>
      </c>
      <c r="C26">
        <v>145318</v>
      </c>
      <c r="D26">
        <v>-30324</v>
      </c>
      <c r="E26">
        <v>0.13</v>
      </c>
      <c r="F26">
        <v>-0.20867339214687788</v>
      </c>
    </row>
    <row r="27" spans="1:6" x14ac:dyDescent="0.55000000000000004">
      <c r="A27">
        <v>2011</v>
      </c>
      <c r="B27" t="s">
        <v>7</v>
      </c>
      <c r="C27">
        <v>98046</v>
      </c>
      <c r="D27">
        <v>-28634</v>
      </c>
      <c r="E27">
        <v>0.13</v>
      </c>
      <c r="F27">
        <v>-0.29204659037594599</v>
      </c>
    </row>
    <row r="28" spans="1:6" x14ac:dyDescent="0.55000000000000004">
      <c r="A28">
        <v>2012</v>
      </c>
      <c r="B28" t="s">
        <v>7</v>
      </c>
      <c r="C28">
        <v>120729</v>
      </c>
      <c r="D28">
        <v>-21015</v>
      </c>
      <c r="E28">
        <v>0.13</v>
      </c>
      <c r="F28">
        <v>-0.1740675396963447</v>
      </c>
    </row>
    <row r="29" spans="1:6" x14ac:dyDescent="0.55000000000000004">
      <c r="A29">
        <v>2013</v>
      </c>
      <c r="B29" t="s">
        <v>7</v>
      </c>
      <c r="C29">
        <v>159714</v>
      </c>
      <c r="D29">
        <v>8025</v>
      </c>
      <c r="E29">
        <v>0.14000000000000001</v>
      </c>
      <c r="F29">
        <v>5.0246064840903111E-2</v>
      </c>
    </row>
    <row r="30" spans="1:6" x14ac:dyDescent="0.55000000000000004">
      <c r="A30">
        <v>2014</v>
      </c>
      <c r="B30" t="s">
        <v>7</v>
      </c>
      <c r="C30">
        <v>153627</v>
      </c>
      <c r="D30">
        <v>-1171</v>
      </c>
      <c r="E30">
        <v>0.12</v>
      </c>
      <c r="F30">
        <v>-7.6223580490408591E-3</v>
      </c>
    </row>
    <row r="31" spans="1:6" x14ac:dyDescent="0.55000000000000004">
      <c r="A31">
        <v>2016</v>
      </c>
      <c r="B31" t="s">
        <v>7</v>
      </c>
      <c r="C31">
        <v>103829</v>
      </c>
      <c r="D31">
        <v>-14651</v>
      </c>
      <c r="E31">
        <v>0.13</v>
      </c>
      <c r="F31">
        <v>-0.14110701249169308</v>
      </c>
    </row>
    <row r="32" spans="1:6" x14ac:dyDescent="0.55000000000000004">
      <c r="A32">
        <v>2017</v>
      </c>
      <c r="B32" t="s">
        <v>7</v>
      </c>
      <c r="C32">
        <v>163953</v>
      </c>
      <c r="D32">
        <v>5007</v>
      </c>
      <c r="E32">
        <v>10</v>
      </c>
      <c r="F32">
        <v>3.0539239904118862E-2</v>
      </c>
    </row>
    <row r="33" spans="1:6" x14ac:dyDescent="0.55000000000000004">
      <c r="B33" t="s">
        <v>7</v>
      </c>
      <c r="E33">
        <v>0.13</v>
      </c>
      <c r="F33" t="e">
        <v>#DIV/0!</v>
      </c>
    </row>
    <row r="34" spans="1:6" x14ac:dyDescent="0.55000000000000004">
      <c r="A34">
        <v>2018</v>
      </c>
      <c r="B34" t="s">
        <v>7</v>
      </c>
      <c r="C34">
        <v>131279</v>
      </c>
      <c r="D34">
        <v>10446</v>
      </c>
      <c r="E34">
        <v>0.14000000000000001</v>
      </c>
      <c r="F34">
        <v>7.9570990028869817E-2</v>
      </c>
    </row>
    <row r="35" spans="1:6" x14ac:dyDescent="0.55000000000000004">
      <c r="A35">
        <v>2019</v>
      </c>
      <c r="B35" t="s">
        <v>7</v>
      </c>
      <c r="C35">
        <v>156634</v>
      </c>
      <c r="D35">
        <v>-23359</v>
      </c>
      <c r="E35">
        <v>0.13</v>
      </c>
      <c r="F35">
        <v>-0.14913109541989605</v>
      </c>
    </row>
    <row r="36" spans="1:6" x14ac:dyDescent="0.55000000000000004">
      <c r="A36">
        <v>2015</v>
      </c>
      <c r="B36" t="s">
        <v>69</v>
      </c>
      <c r="C36">
        <v>127689</v>
      </c>
      <c r="D36">
        <v>6401</v>
      </c>
      <c r="E36">
        <v>0.14000000000000001</v>
      </c>
      <c r="F36">
        <v>5.0129611791148804E-2</v>
      </c>
    </row>
    <row r="37" spans="1:6" x14ac:dyDescent="0.55000000000000004">
      <c r="A37">
        <v>2010</v>
      </c>
      <c r="B37" t="s">
        <v>8</v>
      </c>
      <c r="C37">
        <v>438170</v>
      </c>
      <c r="D37">
        <v>52580.4</v>
      </c>
      <c r="E37">
        <v>0.18</v>
      </c>
      <c r="F37">
        <v>0.12000000000000001</v>
      </c>
    </row>
    <row r="38" spans="1:6" x14ac:dyDescent="0.55000000000000004">
      <c r="A38">
        <v>2011</v>
      </c>
      <c r="B38" t="s">
        <v>8</v>
      </c>
      <c r="C38">
        <v>411879.8</v>
      </c>
      <c r="D38">
        <v>49425.576000000001</v>
      </c>
      <c r="E38">
        <v>0.17099999999999999</v>
      </c>
      <c r="F38">
        <v>0.12000000000000001</v>
      </c>
    </row>
    <row r="39" spans="1:6" x14ac:dyDescent="0.55000000000000004">
      <c r="A39">
        <v>2012</v>
      </c>
      <c r="B39" t="s">
        <v>8</v>
      </c>
      <c r="C39">
        <v>387167.01199999999</v>
      </c>
      <c r="D39">
        <v>46460.041440000001</v>
      </c>
      <c r="E39">
        <v>0.16244999999999998</v>
      </c>
      <c r="F39">
        <v>0.12000000000000001</v>
      </c>
    </row>
    <row r="40" spans="1:6" x14ac:dyDescent="0.55000000000000004">
      <c r="A40">
        <v>2013</v>
      </c>
      <c r="B40" t="s">
        <v>8</v>
      </c>
      <c r="C40">
        <v>352321.98092</v>
      </c>
      <c r="D40">
        <v>42278.637710399998</v>
      </c>
      <c r="E40">
        <v>0.15432749999999998</v>
      </c>
      <c r="F40">
        <v>0.12</v>
      </c>
    </row>
    <row r="41" spans="1:6" x14ac:dyDescent="0.55000000000000004">
      <c r="A41">
        <v>2015</v>
      </c>
      <c r="B41" t="s">
        <v>8</v>
      </c>
      <c r="C41">
        <v>307929.41132407996</v>
      </c>
      <c r="D41">
        <v>36165.146697476157</v>
      </c>
      <c r="E41">
        <v>0.12920298299999997</v>
      </c>
      <c r="F41">
        <v>0.11744622425629291</v>
      </c>
    </row>
    <row r="42" spans="1:6" x14ac:dyDescent="0.55000000000000004">
      <c r="A42">
        <v>2016</v>
      </c>
      <c r="B42" t="s">
        <v>8</v>
      </c>
      <c r="C42">
        <v>274057.17607843119</v>
      </c>
      <c r="D42">
        <v>33271.934961678067</v>
      </c>
      <c r="E42">
        <v>0.11499065486999997</v>
      </c>
      <c r="F42">
        <v>0.12140508574807807</v>
      </c>
    </row>
    <row r="43" spans="1:6" x14ac:dyDescent="0.55000000000000004">
      <c r="A43">
        <v>2017</v>
      </c>
      <c r="B43" t="s">
        <v>8</v>
      </c>
      <c r="C43">
        <v>249392.0302313724</v>
      </c>
      <c r="D43">
        <v>30610.180164743822</v>
      </c>
      <c r="E43">
        <v>0.10349158938299997</v>
      </c>
      <c r="F43">
        <v>0.12273920756948552</v>
      </c>
    </row>
    <row r="44" spans="1:6" x14ac:dyDescent="0.55000000000000004">
      <c r="A44">
        <v>2018</v>
      </c>
      <c r="B44" t="s">
        <v>8</v>
      </c>
      <c r="C44">
        <v>221958.90690592144</v>
      </c>
      <c r="D44">
        <v>27243.060346622002</v>
      </c>
      <c r="E44">
        <v>9.2107514550869976E-2</v>
      </c>
      <c r="F44">
        <v>0.1227392075694855</v>
      </c>
    </row>
    <row r="45" spans="1:6" x14ac:dyDescent="0.55000000000000004">
      <c r="A45">
        <v>2019</v>
      </c>
      <c r="B45" t="s">
        <v>8</v>
      </c>
      <c r="C45">
        <v>199763.01621532929</v>
      </c>
      <c r="D45">
        <v>25063.615518892242</v>
      </c>
      <c r="E45">
        <v>8.1975687950274281E-2</v>
      </c>
      <c r="F45">
        <v>0.12546674551547407</v>
      </c>
    </row>
    <row r="46" spans="1:6" x14ac:dyDescent="0.55000000000000004">
      <c r="A46">
        <v>2010</v>
      </c>
      <c r="B46" t="s">
        <v>9</v>
      </c>
      <c r="C46">
        <v>132408</v>
      </c>
      <c r="D46">
        <v>26481.600000000002</v>
      </c>
      <c r="E46">
        <v>0.11</v>
      </c>
      <c r="F46">
        <v>0.2</v>
      </c>
    </row>
    <row r="47" spans="1:6" x14ac:dyDescent="0.55000000000000004">
      <c r="A47">
        <v>2011</v>
      </c>
      <c r="B47" t="s">
        <v>9</v>
      </c>
      <c r="C47">
        <v>125473</v>
      </c>
      <c r="D47">
        <v>31368.25</v>
      </c>
      <c r="E47">
        <v>0.09</v>
      </c>
      <c r="F47">
        <v>0.25</v>
      </c>
    </row>
    <row r="48" spans="1:6" x14ac:dyDescent="0.55000000000000004">
      <c r="A48">
        <v>2013</v>
      </c>
      <c r="B48" t="s">
        <v>9</v>
      </c>
      <c r="C48">
        <v>128478</v>
      </c>
      <c r="D48">
        <v>25695.600000000002</v>
      </c>
      <c r="E48">
        <v>0.1</v>
      </c>
      <c r="F48">
        <v>0.2</v>
      </c>
    </row>
    <row r="49" spans="1:6" x14ac:dyDescent="0.55000000000000004">
      <c r="A49">
        <v>2014</v>
      </c>
      <c r="B49" t="s">
        <v>9</v>
      </c>
      <c r="C49">
        <v>123742</v>
      </c>
      <c r="D49">
        <v>30935.5</v>
      </c>
      <c r="E49">
        <v>7</v>
      </c>
      <c r="F49">
        <v>0.25</v>
      </c>
    </row>
    <row r="50" spans="1:6" x14ac:dyDescent="0.55000000000000004">
      <c r="A50">
        <v>2015</v>
      </c>
      <c r="B50" t="s">
        <v>9</v>
      </c>
      <c r="C50">
        <v>129465</v>
      </c>
      <c r="D50">
        <v>43155</v>
      </c>
      <c r="E50">
        <v>0.1045</v>
      </c>
      <c r="F50">
        <v>0.33333333333333331</v>
      </c>
    </row>
    <row r="51" spans="1:6" x14ac:dyDescent="0.55000000000000004">
      <c r="A51">
        <v>2017</v>
      </c>
      <c r="B51" t="s">
        <v>9</v>
      </c>
      <c r="C51">
        <v>127120</v>
      </c>
      <c r="D51">
        <v>31780</v>
      </c>
      <c r="E51">
        <v>9.7600000000000006E-2</v>
      </c>
      <c r="F51">
        <v>0.25</v>
      </c>
    </row>
    <row r="52" spans="1:6" x14ac:dyDescent="0.55000000000000004">
      <c r="A52">
        <v>2018</v>
      </c>
      <c r="B52" t="s">
        <v>9</v>
      </c>
      <c r="C52">
        <v>138274</v>
      </c>
      <c r="D52">
        <v>34568.5</v>
      </c>
      <c r="E52">
        <v>0.14000000000000001</v>
      </c>
      <c r="F52">
        <v>0.25</v>
      </c>
    </row>
    <row r="53" spans="1:6" x14ac:dyDescent="0.55000000000000004">
      <c r="A53">
        <v>2019</v>
      </c>
      <c r="B53" t="s">
        <v>9</v>
      </c>
      <c r="C53">
        <v>131792</v>
      </c>
      <c r="D53">
        <v>43930.666666666664</v>
      </c>
      <c r="E53">
        <v>0.1089</v>
      </c>
      <c r="F53">
        <v>0.33333333333333331</v>
      </c>
    </row>
    <row r="54" spans="1:6" x14ac:dyDescent="0.55000000000000004">
      <c r="A54">
        <v>2012</v>
      </c>
      <c r="B54" t="s">
        <v>71</v>
      </c>
      <c r="C54">
        <v>134296</v>
      </c>
      <c r="D54">
        <v>44765.333333333328</v>
      </c>
      <c r="E54">
        <v>0.12</v>
      </c>
      <c r="F54">
        <v>0.33333333333333331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4530-9F56-4244-AC11-C905A929A981}">
  <dimension ref="A1:F54"/>
  <sheetViews>
    <sheetView zoomScale="40" workbookViewId="0">
      <selection activeCell="A3" sqref="A3:F54"/>
    </sheetView>
  </sheetViews>
  <sheetFormatPr defaultRowHeight="14.4" x14ac:dyDescent="0.55000000000000004"/>
  <cols>
    <col min="1" max="1" width="8.89453125" bestFit="1" customWidth="1"/>
    <col min="2" max="2" width="10" bestFit="1" customWidth="1"/>
    <col min="3" max="3" width="16.26171875" bestFit="1" customWidth="1"/>
    <col min="4" max="4" width="13.62890625" bestFit="1" customWidth="1"/>
    <col min="5" max="5" width="21.5234375" bestFit="1" customWidth="1"/>
    <col min="6" max="6" width="13.68359375" bestFit="1" customWidth="1"/>
  </cols>
  <sheetData>
    <row r="1" spans="1:6" x14ac:dyDescent="0.55000000000000004">
      <c r="A1" s="13" t="s">
        <v>377</v>
      </c>
    </row>
    <row r="3" spans="1:6" x14ac:dyDescent="0.55000000000000004">
      <c r="A3" t="s">
        <v>0</v>
      </c>
      <c r="B3" t="s">
        <v>1</v>
      </c>
      <c r="C3" t="s">
        <v>268</v>
      </c>
      <c r="D3" t="s">
        <v>269</v>
      </c>
      <c r="E3" t="s">
        <v>270</v>
      </c>
      <c r="F3" t="s">
        <v>271</v>
      </c>
    </row>
    <row r="4" spans="1:6" x14ac:dyDescent="0.55000000000000004">
      <c r="A4">
        <v>2014</v>
      </c>
      <c r="B4" t="s">
        <v>70</v>
      </c>
      <c r="C4">
        <v>324136.22244639997</v>
      </c>
      <c r="D4">
        <v>39741.919447775996</v>
      </c>
      <c r="E4">
        <v>0.14043802499999997</v>
      </c>
      <c r="F4">
        <v>0.12260869565217392</v>
      </c>
    </row>
    <row r="5" spans="1:6" x14ac:dyDescent="0.55000000000000004">
      <c r="A5">
        <v>2014</v>
      </c>
      <c r="B5" t="s">
        <v>66</v>
      </c>
      <c r="C5">
        <v>199200</v>
      </c>
      <c r="D5">
        <v>20576</v>
      </c>
      <c r="E5">
        <v>16</v>
      </c>
      <c r="F5">
        <v>0.10329317269076305</v>
      </c>
    </row>
    <row r="6" spans="1:6" x14ac:dyDescent="0.55000000000000004">
      <c r="A6">
        <v>2015</v>
      </c>
      <c r="B6" t="s">
        <v>68</v>
      </c>
      <c r="C6">
        <v>250680</v>
      </c>
      <c r="D6">
        <v>61864</v>
      </c>
      <c r="E6">
        <v>0.04</v>
      </c>
      <c r="F6">
        <v>0.24678474549226104</v>
      </c>
    </row>
    <row r="7" spans="1:6" x14ac:dyDescent="0.55000000000000004">
      <c r="A7">
        <v>2016</v>
      </c>
      <c r="B7" t="s">
        <v>72</v>
      </c>
      <c r="C7">
        <v>130720</v>
      </c>
      <c r="D7">
        <v>32680</v>
      </c>
      <c r="E7">
        <v>0.1138</v>
      </c>
      <c r="F7">
        <v>0.25</v>
      </c>
    </row>
    <row r="8" spans="1:6" x14ac:dyDescent="0.55000000000000004">
      <c r="A8">
        <v>2010</v>
      </c>
      <c r="B8" t="s">
        <v>5</v>
      </c>
      <c r="C8">
        <v>12450</v>
      </c>
      <c r="D8">
        <v>-23587</v>
      </c>
      <c r="E8">
        <v>0.02</v>
      </c>
      <c r="F8">
        <v>-1.8945381526104417</v>
      </c>
    </row>
    <row r="9" spans="1:6" x14ac:dyDescent="0.55000000000000004">
      <c r="A9">
        <v>2011</v>
      </c>
      <c r="B9" t="s">
        <v>5</v>
      </c>
      <c r="C9">
        <v>24900</v>
      </c>
      <c r="D9">
        <v>-10341</v>
      </c>
      <c r="E9">
        <v>0.04</v>
      </c>
      <c r="F9">
        <v>-0.41530120481927713</v>
      </c>
    </row>
    <row r="10" spans="1:6" x14ac:dyDescent="0.55000000000000004">
      <c r="A10">
        <v>2012</v>
      </c>
      <c r="B10" t="s">
        <v>5</v>
      </c>
      <c r="C10">
        <v>49800</v>
      </c>
      <c r="D10">
        <v>-1943</v>
      </c>
      <c r="E10">
        <v>7.0000000000000007E-2</v>
      </c>
      <c r="F10">
        <v>-3.901606425702811E-2</v>
      </c>
    </row>
    <row r="11" spans="1:6" x14ac:dyDescent="0.55000000000000004">
      <c r="A11">
        <v>2013</v>
      </c>
      <c r="B11" t="s">
        <v>5</v>
      </c>
      <c r="C11">
        <v>99600</v>
      </c>
      <c r="D11">
        <v>11632</v>
      </c>
      <c r="E11">
        <v>0.13</v>
      </c>
      <c r="F11">
        <v>0.11678714859437751</v>
      </c>
    </row>
    <row r="12" spans="1:6" x14ac:dyDescent="0.55000000000000004">
      <c r="A12">
        <v>2015</v>
      </c>
      <c r="B12" t="s">
        <v>5</v>
      </c>
      <c r="C12">
        <v>398400</v>
      </c>
      <c r="D12">
        <v>43734</v>
      </c>
      <c r="E12">
        <v>0.18</v>
      </c>
      <c r="F12">
        <v>0.10977409638554217</v>
      </c>
    </row>
    <row r="13" spans="1:6" x14ac:dyDescent="0.55000000000000004">
      <c r="A13">
        <v>2016</v>
      </c>
      <c r="B13" t="s">
        <v>5</v>
      </c>
      <c r="C13">
        <v>426732</v>
      </c>
      <c r="D13">
        <v>60182</v>
      </c>
      <c r="E13">
        <v>0.19</v>
      </c>
      <c r="F13">
        <v>0.1410299672862593</v>
      </c>
    </row>
    <row r="14" spans="1:6" x14ac:dyDescent="0.55000000000000004">
      <c r="A14">
        <v>2017</v>
      </c>
      <c r="B14" t="s">
        <v>5</v>
      </c>
      <c r="C14">
        <v>452782</v>
      </c>
      <c r="D14">
        <v>83812</v>
      </c>
      <c r="E14">
        <v>0.17</v>
      </c>
      <c r="F14">
        <v>0.18510453154056478</v>
      </c>
    </row>
    <row r="15" spans="1:6" x14ac:dyDescent="0.55000000000000004">
      <c r="A15">
        <v>2018</v>
      </c>
      <c r="B15" t="s">
        <v>5</v>
      </c>
      <c r="C15">
        <v>478123</v>
      </c>
      <c r="D15">
        <v>93672</v>
      </c>
      <c r="E15">
        <v>0.2</v>
      </c>
      <c r="F15">
        <v>0.1959161136360309</v>
      </c>
    </row>
    <row r="16" spans="1:6" x14ac:dyDescent="0.55000000000000004">
      <c r="A16">
        <v>2019</v>
      </c>
      <c r="B16" t="s">
        <v>5</v>
      </c>
      <c r="C16">
        <v>492823</v>
      </c>
      <c r="D16">
        <v>108352</v>
      </c>
      <c r="E16">
        <v>0.19</v>
      </c>
      <c r="F16">
        <v>0.21985986855321282</v>
      </c>
    </row>
    <row r="17" spans="1:6" x14ac:dyDescent="0.55000000000000004">
      <c r="A17">
        <v>2010</v>
      </c>
      <c r="B17" t="s">
        <v>6</v>
      </c>
      <c r="C17">
        <v>235888</v>
      </c>
      <c r="D17">
        <v>63823</v>
      </c>
      <c r="E17">
        <v>0.05</v>
      </c>
      <c r="F17">
        <v>0.27056484433290373</v>
      </c>
    </row>
    <row r="18" spans="1:6" x14ac:dyDescent="0.55000000000000004">
      <c r="A18">
        <v>2011</v>
      </c>
      <c r="B18" t="s">
        <v>6</v>
      </c>
      <c r="C18">
        <v>203024</v>
      </c>
      <c r="D18">
        <v>60289</v>
      </c>
      <c r="E18">
        <v>7.0000000000000007E-2</v>
      </c>
      <c r="F18">
        <v>0.29695503979825044</v>
      </c>
    </row>
    <row r="19" spans="1:6" x14ac:dyDescent="0.55000000000000004">
      <c r="A19">
        <v>2013</v>
      </c>
      <c r="B19" t="s">
        <v>6</v>
      </c>
      <c r="C19">
        <v>246739</v>
      </c>
      <c r="D19">
        <v>62340</v>
      </c>
      <c r="E19">
        <v>0.06</v>
      </c>
      <c r="F19">
        <v>0.25265564017038245</v>
      </c>
    </row>
    <row r="20" spans="1:6" x14ac:dyDescent="0.55000000000000004">
      <c r="A20">
        <v>2014</v>
      </c>
      <c r="B20" t="s">
        <v>6</v>
      </c>
      <c r="C20">
        <v>224898</v>
      </c>
      <c r="D20">
        <v>59786</v>
      </c>
      <c r="E20">
        <v>0.06</v>
      </c>
      <c r="F20">
        <v>0.26583606790633979</v>
      </c>
    </row>
    <row r="21" spans="1:6" x14ac:dyDescent="0.55000000000000004">
      <c r="A21">
        <v>2016</v>
      </c>
      <c r="B21" t="s">
        <v>6</v>
      </c>
      <c r="C21">
        <v>209309</v>
      </c>
      <c r="D21">
        <v>58234</v>
      </c>
      <c r="E21">
        <v>0.05</v>
      </c>
      <c r="F21">
        <v>0.27822023897682374</v>
      </c>
    </row>
    <row r="22" spans="1:6" x14ac:dyDescent="0.55000000000000004">
      <c r="A22">
        <v>2017</v>
      </c>
      <c r="B22" t="s">
        <v>6</v>
      </c>
      <c r="C22">
        <v>235713</v>
      </c>
      <c r="D22">
        <v>62890</v>
      </c>
      <c r="E22">
        <v>0.05</v>
      </c>
      <c r="F22">
        <v>0.2668075159197838</v>
      </c>
    </row>
    <row r="23" spans="1:6" x14ac:dyDescent="0.55000000000000004">
      <c r="A23">
        <v>2018</v>
      </c>
      <c r="B23" t="s">
        <v>6</v>
      </c>
      <c r="C23">
        <v>232016</v>
      </c>
      <c r="D23">
        <v>63276</v>
      </c>
      <c r="E23">
        <v>0.06</v>
      </c>
      <c r="F23">
        <v>0.27272257085718227</v>
      </c>
    </row>
    <row r="24" spans="1:6" x14ac:dyDescent="0.55000000000000004">
      <c r="A24">
        <v>2019</v>
      </c>
      <c r="B24" t="s">
        <v>6</v>
      </c>
      <c r="C24">
        <v>210222</v>
      </c>
      <c r="D24">
        <v>60780</v>
      </c>
      <c r="E24">
        <v>0.04</v>
      </c>
      <c r="F24">
        <v>0.28912292719125499</v>
      </c>
    </row>
    <row r="25" spans="1:6" x14ac:dyDescent="0.55000000000000004">
      <c r="A25">
        <v>2012</v>
      </c>
      <c r="B25" t="s">
        <v>67</v>
      </c>
      <c r="C25">
        <v>226570</v>
      </c>
      <c r="D25">
        <v>61902</v>
      </c>
      <c r="E25">
        <v>0.04</v>
      </c>
      <c r="F25">
        <v>0.27321357637816129</v>
      </c>
    </row>
    <row r="26" spans="1:6" x14ac:dyDescent="0.55000000000000004">
      <c r="A26">
        <v>2010</v>
      </c>
      <c r="B26" t="s">
        <v>7</v>
      </c>
      <c r="C26">
        <v>145318</v>
      </c>
      <c r="D26">
        <v>-30324</v>
      </c>
      <c r="E26">
        <v>0.13</v>
      </c>
      <c r="F26">
        <v>-0.20867339214687788</v>
      </c>
    </row>
    <row r="27" spans="1:6" x14ac:dyDescent="0.55000000000000004">
      <c r="A27">
        <v>2011</v>
      </c>
      <c r="B27" t="s">
        <v>7</v>
      </c>
      <c r="C27">
        <v>98046</v>
      </c>
      <c r="D27">
        <v>-28634</v>
      </c>
      <c r="E27">
        <v>0.13</v>
      </c>
      <c r="F27">
        <v>-0.29204659037594599</v>
      </c>
    </row>
    <row r="28" spans="1:6" x14ac:dyDescent="0.55000000000000004">
      <c r="A28">
        <v>2012</v>
      </c>
      <c r="B28" t="s">
        <v>7</v>
      </c>
      <c r="C28">
        <v>120729</v>
      </c>
      <c r="D28">
        <v>-21015</v>
      </c>
      <c r="E28">
        <v>0.13</v>
      </c>
      <c r="F28">
        <v>-0.1740675396963447</v>
      </c>
    </row>
    <row r="29" spans="1:6" x14ac:dyDescent="0.55000000000000004">
      <c r="A29">
        <v>2013</v>
      </c>
      <c r="B29" t="s">
        <v>7</v>
      </c>
      <c r="C29">
        <v>159714</v>
      </c>
      <c r="D29">
        <v>8025</v>
      </c>
      <c r="E29">
        <v>0.14000000000000001</v>
      </c>
      <c r="F29">
        <v>5.0246064840903111E-2</v>
      </c>
    </row>
    <row r="30" spans="1:6" x14ac:dyDescent="0.55000000000000004">
      <c r="A30">
        <v>2014</v>
      </c>
      <c r="B30" t="s">
        <v>7</v>
      </c>
      <c r="C30">
        <v>153627</v>
      </c>
      <c r="D30">
        <v>-1171</v>
      </c>
      <c r="E30">
        <v>0.12</v>
      </c>
      <c r="F30">
        <v>-7.6223580490408591E-3</v>
      </c>
    </row>
    <row r="31" spans="1:6" x14ac:dyDescent="0.55000000000000004">
      <c r="A31">
        <v>2016</v>
      </c>
      <c r="B31" t="s">
        <v>7</v>
      </c>
      <c r="C31">
        <v>103829</v>
      </c>
      <c r="D31">
        <v>-14651</v>
      </c>
      <c r="E31">
        <v>0.13</v>
      </c>
      <c r="F31">
        <v>-0.14110701249169308</v>
      </c>
    </row>
    <row r="32" spans="1:6" x14ac:dyDescent="0.55000000000000004">
      <c r="A32">
        <v>2017</v>
      </c>
      <c r="B32" t="s">
        <v>7</v>
      </c>
      <c r="C32">
        <v>163953</v>
      </c>
      <c r="D32">
        <v>5007</v>
      </c>
      <c r="E32">
        <v>10</v>
      </c>
      <c r="F32">
        <v>3.0539239904118862E-2</v>
      </c>
    </row>
    <row r="33" spans="1:6" x14ac:dyDescent="0.55000000000000004">
      <c r="B33" t="s">
        <v>7</v>
      </c>
      <c r="E33">
        <v>0.13</v>
      </c>
      <c r="F33" t="e">
        <v>#DIV/0!</v>
      </c>
    </row>
    <row r="34" spans="1:6" x14ac:dyDescent="0.55000000000000004">
      <c r="A34">
        <v>2018</v>
      </c>
      <c r="B34" t="s">
        <v>7</v>
      </c>
      <c r="C34">
        <v>131279</v>
      </c>
      <c r="D34">
        <v>10446</v>
      </c>
      <c r="E34">
        <v>0.14000000000000001</v>
      </c>
      <c r="F34">
        <v>7.9570990028869817E-2</v>
      </c>
    </row>
    <row r="35" spans="1:6" x14ac:dyDescent="0.55000000000000004">
      <c r="A35">
        <v>2019</v>
      </c>
      <c r="B35" t="s">
        <v>7</v>
      </c>
      <c r="C35">
        <v>156634</v>
      </c>
      <c r="D35">
        <v>-23359</v>
      </c>
      <c r="E35">
        <v>0.13</v>
      </c>
      <c r="F35">
        <v>-0.14913109541989605</v>
      </c>
    </row>
    <row r="36" spans="1:6" x14ac:dyDescent="0.55000000000000004">
      <c r="A36">
        <v>2015</v>
      </c>
      <c r="B36" t="s">
        <v>69</v>
      </c>
      <c r="C36">
        <v>127689</v>
      </c>
      <c r="D36">
        <v>6401</v>
      </c>
      <c r="E36">
        <v>0.14000000000000001</v>
      </c>
      <c r="F36">
        <v>5.0129611791148804E-2</v>
      </c>
    </row>
    <row r="37" spans="1:6" x14ac:dyDescent="0.55000000000000004">
      <c r="A37">
        <v>2010</v>
      </c>
      <c r="B37" t="s">
        <v>8</v>
      </c>
      <c r="C37">
        <v>438170</v>
      </c>
      <c r="D37">
        <v>52580.4</v>
      </c>
      <c r="E37">
        <v>0.18</v>
      </c>
      <c r="F37">
        <v>0.12000000000000001</v>
      </c>
    </row>
    <row r="38" spans="1:6" x14ac:dyDescent="0.55000000000000004">
      <c r="A38">
        <v>2011</v>
      </c>
      <c r="B38" t="s">
        <v>8</v>
      </c>
      <c r="C38">
        <v>411879.8</v>
      </c>
      <c r="D38">
        <v>49425.576000000001</v>
      </c>
      <c r="E38">
        <v>0.17099999999999999</v>
      </c>
      <c r="F38">
        <v>0.12000000000000001</v>
      </c>
    </row>
    <row r="39" spans="1:6" x14ac:dyDescent="0.55000000000000004">
      <c r="A39">
        <v>2012</v>
      </c>
      <c r="B39" t="s">
        <v>8</v>
      </c>
      <c r="C39">
        <v>387167.01199999999</v>
      </c>
      <c r="D39">
        <v>46460.041440000001</v>
      </c>
      <c r="E39">
        <v>0.16244999999999998</v>
      </c>
      <c r="F39">
        <v>0.12000000000000001</v>
      </c>
    </row>
    <row r="40" spans="1:6" x14ac:dyDescent="0.55000000000000004">
      <c r="A40">
        <v>2013</v>
      </c>
      <c r="B40" t="s">
        <v>8</v>
      </c>
      <c r="C40">
        <v>352321.98092</v>
      </c>
      <c r="D40">
        <v>42278.637710399998</v>
      </c>
      <c r="E40">
        <v>0.15432749999999998</v>
      </c>
      <c r="F40">
        <v>0.12</v>
      </c>
    </row>
    <row r="41" spans="1:6" x14ac:dyDescent="0.55000000000000004">
      <c r="A41">
        <v>2015</v>
      </c>
      <c r="B41" t="s">
        <v>8</v>
      </c>
      <c r="C41">
        <v>307929.41132407996</v>
      </c>
      <c r="D41">
        <v>36165.146697476157</v>
      </c>
      <c r="E41">
        <v>0.12920298299999997</v>
      </c>
      <c r="F41">
        <v>0.11744622425629291</v>
      </c>
    </row>
    <row r="42" spans="1:6" x14ac:dyDescent="0.55000000000000004">
      <c r="A42">
        <v>2016</v>
      </c>
      <c r="B42" t="s">
        <v>8</v>
      </c>
      <c r="C42">
        <v>274057.17607843119</v>
      </c>
      <c r="D42">
        <v>33271.934961678067</v>
      </c>
      <c r="E42">
        <v>0.11499065486999997</v>
      </c>
      <c r="F42">
        <v>0.12140508574807807</v>
      </c>
    </row>
    <row r="43" spans="1:6" x14ac:dyDescent="0.55000000000000004">
      <c r="A43">
        <v>2017</v>
      </c>
      <c r="B43" t="s">
        <v>8</v>
      </c>
      <c r="C43">
        <v>249392.0302313724</v>
      </c>
      <c r="D43">
        <v>30610.180164743822</v>
      </c>
      <c r="E43">
        <v>0.10349158938299997</v>
      </c>
      <c r="F43">
        <v>0.12273920756948552</v>
      </c>
    </row>
    <row r="44" spans="1:6" x14ac:dyDescent="0.55000000000000004">
      <c r="A44">
        <v>2018</v>
      </c>
      <c r="B44" t="s">
        <v>8</v>
      </c>
      <c r="C44">
        <v>221958.90690592144</v>
      </c>
      <c r="D44">
        <v>27243.060346622002</v>
      </c>
      <c r="E44">
        <v>9.2107514550869976E-2</v>
      </c>
      <c r="F44">
        <v>0.1227392075694855</v>
      </c>
    </row>
    <row r="45" spans="1:6" x14ac:dyDescent="0.55000000000000004">
      <c r="A45">
        <v>2019</v>
      </c>
      <c r="B45" t="s">
        <v>8</v>
      </c>
      <c r="C45">
        <v>199763.01621532929</v>
      </c>
      <c r="D45">
        <v>25063.615518892242</v>
      </c>
      <c r="E45">
        <v>8.1975687950274281E-2</v>
      </c>
      <c r="F45">
        <v>0.12546674551547407</v>
      </c>
    </row>
    <row r="46" spans="1:6" x14ac:dyDescent="0.55000000000000004">
      <c r="A46">
        <v>2010</v>
      </c>
      <c r="B46" t="s">
        <v>9</v>
      </c>
      <c r="C46">
        <v>132408</v>
      </c>
      <c r="D46">
        <v>26481.600000000002</v>
      </c>
      <c r="E46">
        <v>0.11</v>
      </c>
      <c r="F46">
        <v>0.2</v>
      </c>
    </row>
    <row r="47" spans="1:6" x14ac:dyDescent="0.55000000000000004">
      <c r="A47">
        <v>2011</v>
      </c>
      <c r="B47" t="s">
        <v>9</v>
      </c>
      <c r="C47">
        <v>125473</v>
      </c>
      <c r="D47">
        <v>31368.25</v>
      </c>
      <c r="E47">
        <v>0.09</v>
      </c>
      <c r="F47">
        <v>0.25</v>
      </c>
    </row>
    <row r="48" spans="1:6" x14ac:dyDescent="0.55000000000000004">
      <c r="A48">
        <v>2013</v>
      </c>
      <c r="B48" t="s">
        <v>9</v>
      </c>
      <c r="C48">
        <v>128478</v>
      </c>
      <c r="D48">
        <v>25695.600000000002</v>
      </c>
      <c r="E48">
        <v>0.1</v>
      </c>
      <c r="F48">
        <v>0.2</v>
      </c>
    </row>
    <row r="49" spans="1:6" x14ac:dyDescent="0.55000000000000004">
      <c r="A49">
        <v>2014</v>
      </c>
      <c r="B49" t="s">
        <v>9</v>
      </c>
      <c r="C49">
        <v>123742</v>
      </c>
      <c r="D49">
        <v>30935.5</v>
      </c>
      <c r="E49">
        <v>7</v>
      </c>
      <c r="F49">
        <v>0.25</v>
      </c>
    </row>
    <row r="50" spans="1:6" x14ac:dyDescent="0.55000000000000004">
      <c r="A50">
        <v>2015</v>
      </c>
      <c r="B50" t="s">
        <v>9</v>
      </c>
      <c r="C50">
        <v>129465</v>
      </c>
      <c r="D50">
        <v>43155</v>
      </c>
      <c r="E50">
        <v>0.1045</v>
      </c>
      <c r="F50">
        <v>0.33333333333333331</v>
      </c>
    </row>
    <row r="51" spans="1:6" x14ac:dyDescent="0.55000000000000004">
      <c r="A51">
        <v>2017</v>
      </c>
      <c r="B51" t="s">
        <v>9</v>
      </c>
      <c r="C51">
        <v>127120</v>
      </c>
      <c r="D51">
        <v>31780</v>
      </c>
      <c r="E51">
        <v>9.7600000000000006E-2</v>
      </c>
      <c r="F51">
        <v>0.25</v>
      </c>
    </row>
    <row r="52" spans="1:6" x14ac:dyDescent="0.55000000000000004">
      <c r="A52">
        <v>2018</v>
      </c>
      <c r="B52" t="s">
        <v>9</v>
      </c>
      <c r="C52">
        <v>138274</v>
      </c>
      <c r="D52">
        <v>34568.5</v>
      </c>
      <c r="E52">
        <v>0.14000000000000001</v>
      </c>
      <c r="F52">
        <v>0.25</v>
      </c>
    </row>
    <row r="53" spans="1:6" x14ac:dyDescent="0.55000000000000004">
      <c r="A53">
        <v>2019</v>
      </c>
      <c r="B53" t="s">
        <v>9</v>
      </c>
      <c r="C53">
        <v>131792</v>
      </c>
      <c r="D53">
        <v>43930.666666666664</v>
      </c>
      <c r="E53">
        <v>0.1089</v>
      </c>
      <c r="F53">
        <v>0.33333333333333331</v>
      </c>
    </row>
    <row r="54" spans="1:6" x14ac:dyDescent="0.55000000000000004">
      <c r="A54">
        <v>2012</v>
      </c>
      <c r="B54" t="s">
        <v>71</v>
      </c>
      <c r="C54">
        <v>134296</v>
      </c>
      <c r="D54">
        <v>44765.333333333328</v>
      </c>
      <c r="E54">
        <v>0.12</v>
      </c>
      <c r="F54">
        <v>0.33333333333333331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2EC8-11C4-4706-9DC5-1E1B1B31447D}">
  <sheetPr>
    <tabColor rgb="FFFF0000"/>
  </sheetPr>
  <dimension ref="A1:W149"/>
  <sheetViews>
    <sheetView topLeftCell="A111" zoomScale="53" workbookViewId="0">
      <selection activeCell="J117" sqref="J117:K130"/>
    </sheetView>
  </sheetViews>
  <sheetFormatPr defaultRowHeight="12.3" x14ac:dyDescent="0.4"/>
  <cols>
    <col min="1" max="1" width="7.7890625" style="2" customWidth="1"/>
    <col min="2" max="2" width="11.1015625" style="2" bestFit="1" customWidth="1"/>
    <col min="3" max="3" width="17" style="2" customWidth="1"/>
    <col min="4" max="4" width="14.20703125" style="2" customWidth="1"/>
    <col min="5" max="5" width="22.68359375" style="2" customWidth="1"/>
    <col min="6" max="9" width="11.1015625" style="2" customWidth="1"/>
    <col min="10" max="10" width="12.5234375" style="2" bestFit="1" customWidth="1"/>
    <col min="11" max="11" width="22" style="2" bestFit="1" customWidth="1"/>
    <col min="12" max="12" width="10" style="2" bestFit="1" customWidth="1"/>
    <col min="13" max="13" width="36" style="2" customWidth="1"/>
    <col min="14" max="14" width="10" style="2" bestFit="1" customWidth="1"/>
    <col min="15" max="15" width="12" style="2" bestFit="1" customWidth="1"/>
    <col min="16" max="16" width="9.1015625" style="2" bestFit="1" customWidth="1"/>
    <col min="17" max="17" width="10.89453125" style="2" bestFit="1" customWidth="1"/>
    <col min="18" max="18" width="12" style="2" bestFit="1" customWidth="1"/>
    <col min="19" max="19" width="10.41796875" style="2" bestFit="1" customWidth="1"/>
    <col min="20" max="20" width="12" style="2" bestFit="1" customWidth="1"/>
    <col min="21" max="21" width="9.1015625" style="2" bestFit="1" customWidth="1"/>
    <col min="22" max="22" width="10.89453125" style="2" bestFit="1" customWidth="1"/>
    <col min="23" max="23" width="12" style="2" bestFit="1" customWidth="1"/>
    <col min="24" max="256" width="9.1015625" style="2"/>
    <col min="257" max="257" width="7.7890625" style="2" customWidth="1"/>
    <col min="258" max="258" width="11.1015625" style="2" bestFit="1" customWidth="1"/>
    <col min="259" max="272" width="11.1015625" style="2" customWidth="1"/>
    <col min="273" max="512" width="9.1015625" style="2"/>
    <col min="513" max="513" width="7.7890625" style="2" customWidth="1"/>
    <col min="514" max="514" width="11.1015625" style="2" bestFit="1" customWidth="1"/>
    <col min="515" max="528" width="11.1015625" style="2" customWidth="1"/>
    <col min="529" max="768" width="9.1015625" style="2"/>
    <col min="769" max="769" width="7.7890625" style="2" customWidth="1"/>
    <col min="770" max="770" width="11.1015625" style="2" bestFit="1" customWidth="1"/>
    <col min="771" max="784" width="11.1015625" style="2" customWidth="1"/>
    <col min="785" max="1024" width="9.1015625" style="2"/>
    <col min="1025" max="1025" width="7.7890625" style="2" customWidth="1"/>
    <col min="1026" max="1026" width="11.1015625" style="2" bestFit="1" customWidth="1"/>
    <col min="1027" max="1040" width="11.1015625" style="2" customWidth="1"/>
    <col min="1041" max="1280" width="9.1015625" style="2"/>
    <col min="1281" max="1281" width="7.7890625" style="2" customWidth="1"/>
    <col min="1282" max="1282" width="11.1015625" style="2" bestFit="1" customWidth="1"/>
    <col min="1283" max="1296" width="11.1015625" style="2" customWidth="1"/>
    <col min="1297" max="1536" width="9.1015625" style="2"/>
    <col min="1537" max="1537" width="7.7890625" style="2" customWidth="1"/>
    <col min="1538" max="1538" width="11.1015625" style="2" bestFit="1" customWidth="1"/>
    <col min="1539" max="1552" width="11.1015625" style="2" customWidth="1"/>
    <col min="1553" max="1792" width="9.1015625" style="2"/>
    <col min="1793" max="1793" width="7.7890625" style="2" customWidth="1"/>
    <col min="1794" max="1794" width="11.1015625" style="2" bestFit="1" customWidth="1"/>
    <col min="1795" max="1808" width="11.1015625" style="2" customWidth="1"/>
    <col min="1809" max="2048" width="9.1015625" style="2"/>
    <col min="2049" max="2049" width="7.7890625" style="2" customWidth="1"/>
    <col min="2050" max="2050" width="11.1015625" style="2" bestFit="1" customWidth="1"/>
    <col min="2051" max="2064" width="11.1015625" style="2" customWidth="1"/>
    <col min="2065" max="2304" width="9.1015625" style="2"/>
    <col min="2305" max="2305" width="7.7890625" style="2" customWidth="1"/>
    <col min="2306" max="2306" width="11.1015625" style="2" bestFit="1" customWidth="1"/>
    <col min="2307" max="2320" width="11.1015625" style="2" customWidth="1"/>
    <col min="2321" max="2560" width="9.1015625" style="2"/>
    <col min="2561" max="2561" width="7.7890625" style="2" customWidth="1"/>
    <col min="2562" max="2562" width="11.1015625" style="2" bestFit="1" customWidth="1"/>
    <col min="2563" max="2576" width="11.1015625" style="2" customWidth="1"/>
    <col min="2577" max="2816" width="9.1015625" style="2"/>
    <col min="2817" max="2817" width="7.7890625" style="2" customWidth="1"/>
    <col min="2818" max="2818" width="11.1015625" style="2" bestFit="1" customWidth="1"/>
    <col min="2819" max="2832" width="11.1015625" style="2" customWidth="1"/>
    <col min="2833" max="3072" width="9.1015625" style="2"/>
    <col min="3073" max="3073" width="7.7890625" style="2" customWidth="1"/>
    <col min="3074" max="3074" width="11.1015625" style="2" bestFit="1" customWidth="1"/>
    <col min="3075" max="3088" width="11.1015625" style="2" customWidth="1"/>
    <col min="3089" max="3328" width="9.1015625" style="2"/>
    <col min="3329" max="3329" width="7.7890625" style="2" customWidth="1"/>
    <col min="3330" max="3330" width="11.1015625" style="2" bestFit="1" customWidth="1"/>
    <col min="3331" max="3344" width="11.1015625" style="2" customWidth="1"/>
    <col min="3345" max="3584" width="9.1015625" style="2"/>
    <col min="3585" max="3585" width="7.7890625" style="2" customWidth="1"/>
    <col min="3586" max="3586" width="11.1015625" style="2" bestFit="1" customWidth="1"/>
    <col min="3587" max="3600" width="11.1015625" style="2" customWidth="1"/>
    <col min="3601" max="3840" width="9.1015625" style="2"/>
    <col min="3841" max="3841" width="7.7890625" style="2" customWidth="1"/>
    <col min="3842" max="3842" width="11.1015625" style="2" bestFit="1" customWidth="1"/>
    <col min="3843" max="3856" width="11.1015625" style="2" customWidth="1"/>
    <col min="3857" max="4096" width="9.1015625" style="2"/>
    <col min="4097" max="4097" width="7.7890625" style="2" customWidth="1"/>
    <col min="4098" max="4098" width="11.1015625" style="2" bestFit="1" customWidth="1"/>
    <col min="4099" max="4112" width="11.1015625" style="2" customWidth="1"/>
    <col min="4113" max="4352" width="9.1015625" style="2"/>
    <col min="4353" max="4353" width="7.7890625" style="2" customWidth="1"/>
    <col min="4354" max="4354" width="11.1015625" style="2" bestFit="1" customWidth="1"/>
    <col min="4355" max="4368" width="11.1015625" style="2" customWidth="1"/>
    <col min="4369" max="4608" width="9.1015625" style="2"/>
    <col min="4609" max="4609" width="7.7890625" style="2" customWidth="1"/>
    <col min="4610" max="4610" width="11.1015625" style="2" bestFit="1" customWidth="1"/>
    <col min="4611" max="4624" width="11.1015625" style="2" customWidth="1"/>
    <col min="4625" max="4864" width="9.1015625" style="2"/>
    <col min="4865" max="4865" width="7.7890625" style="2" customWidth="1"/>
    <col min="4866" max="4866" width="11.1015625" style="2" bestFit="1" customWidth="1"/>
    <col min="4867" max="4880" width="11.1015625" style="2" customWidth="1"/>
    <col min="4881" max="5120" width="9.1015625" style="2"/>
    <col min="5121" max="5121" width="7.7890625" style="2" customWidth="1"/>
    <col min="5122" max="5122" width="11.1015625" style="2" bestFit="1" customWidth="1"/>
    <col min="5123" max="5136" width="11.1015625" style="2" customWidth="1"/>
    <col min="5137" max="5376" width="9.1015625" style="2"/>
    <col min="5377" max="5377" width="7.7890625" style="2" customWidth="1"/>
    <col min="5378" max="5378" width="11.1015625" style="2" bestFit="1" customWidth="1"/>
    <col min="5379" max="5392" width="11.1015625" style="2" customWidth="1"/>
    <col min="5393" max="5632" width="9.1015625" style="2"/>
    <col min="5633" max="5633" width="7.7890625" style="2" customWidth="1"/>
    <col min="5634" max="5634" width="11.1015625" style="2" bestFit="1" customWidth="1"/>
    <col min="5635" max="5648" width="11.1015625" style="2" customWidth="1"/>
    <col min="5649" max="5888" width="9.1015625" style="2"/>
    <col min="5889" max="5889" width="7.7890625" style="2" customWidth="1"/>
    <col min="5890" max="5890" width="11.1015625" style="2" bestFit="1" customWidth="1"/>
    <col min="5891" max="5904" width="11.1015625" style="2" customWidth="1"/>
    <col min="5905" max="6144" width="9.1015625" style="2"/>
    <col min="6145" max="6145" width="7.7890625" style="2" customWidth="1"/>
    <col min="6146" max="6146" width="11.1015625" style="2" bestFit="1" customWidth="1"/>
    <col min="6147" max="6160" width="11.1015625" style="2" customWidth="1"/>
    <col min="6161" max="6400" width="9.1015625" style="2"/>
    <col min="6401" max="6401" width="7.7890625" style="2" customWidth="1"/>
    <col min="6402" max="6402" width="11.1015625" style="2" bestFit="1" customWidth="1"/>
    <col min="6403" max="6416" width="11.1015625" style="2" customWidth="1"/>
    <col min="6417" max="6656" width="9.1015625" style="2"/>
    <col min="6657" max="6657" width="7.7890625" style="2" customWidth="1"/>
    <col min="6658" max="6658" width="11.1015625" style="2" bestFit="1" customWidth="1"/>
    <col min="6659" max="6672" width="11.1015625" style="2" customWidth="1"/>
    <col min="6673" max="6912" width="9.1015625" style="2"/>
    <col min="6913" max="6913" width="7.7890625" style="2" customWidth="1"/>
    <col min="6914" max="6914" width="11.1015625" style="2" bestFit="1" customWidth="1"/>
    <col min="6915" max="6928" width="11.1015625" style="2" customWidth="1"/>
    <col min="6929" max="7168" width="9.1015625" style="2"/>
    <col min="7169" max="7169" width="7.7890625" style="2" customWidth="1"/>
    <col min="7170" max="7170" width="11.1015625" style="2" bestFit="1" customWidth="1"/>
    <col min="7171" max="7184" width="11.1015625" style="2" customWidth="1"/>
    <col min="7185" max="7424" width="9.1015625" style="2"/>
    <col min="7425" max="7425" width="7.7890625" style="2" customWidth="1"/>
    <col min="7426" max="7426" width="11.1015625" style="2" bestFit="1" customWidth="1"/>
    <col min="7427" max="7440" width="11.1015625" style="2" customWidth="1"/>
    <col min="7441" max="7680" width="9.1015625" style="2"/>
    <col min="7681" max="7681" width="7.7890625" style="2" customWidth="1"/>
    <col min="7682" max="7682" width="11.1015625" style="2" bestFit="1" customWidth="1"/>
    <col min="7683" max="7696" width="11.1015625" style="2" customWidth="1"/>
    <col min="7697" max="7936" width="9.1015625" style="2"/>
    <col min="7937" max="7937" width="7.7890625" style="2" customWidth="1"/>
    <col min="7938" max="7938" width="11.1015625" style="2" bestFit="1" customWidth="1"/>
    <col min="7939" max="7952" width="11.1015625" style="2" customWidth="1"/>
    <col min="7953" max="8192" width="9.1015625" style="2"/>
    <col min="8193" max="8193" width="7.7890625" style="2" customWidth="1"/>
    <col min="8194" max="8194" width="11.1015625" style="2" bestFit="1" customWidth="1"/>
    <col min="8195" max="8208" width="11.1015625" style="2" customWidth="1"/>
    <col min="8209" max="8448" width="9.1015625" style="2"/>
    <col min="8449" max="8449" width="7.7890625" style="2" customWidth="1"/>
    <col min="8450" max="8450" width="11.1015625" style="2" bestFit="1" customWidth="1"/>
    <col min="8451" max="8464" width="11.1015625" style="2" customWidth="1"/>
    <col min="8465" max="8704" width="9.1015625" style="2"/>
    <col min="8705" max="8705" width="7.7890625" style="2" customWidth="1"/>
    <col min="8706" max="8706" width="11.1015625" style="2" bestFit="1" customWidth="1"/>
    <col min="8707" max="8720" width="11.1015625" style="2" customWidth="1"/>
    <col min="8721" max="8960" width="9.1015625" style="2"/>
    <col min="8961" max="8961" width="7.7890625" style="2" customWidth="1"/>
    <col min="8962" max="8962" width="11.1015625" style="2" bestFit="1" customWidth="1"/>
    <col min="8963" max="8976" width="11.1015625" style="2" customWidth="1"/>
    <col min="8977" max="9216" width="9.1015625" style="2"/>
    <col min="9217" max="9217" width="7.7890625" style="2" customWidth="1"/>
    <col min="9218" max="9218" width="11.1015625" style="2" bestFit="1" customWidth="1"/>
    <col min="9219" max="9232" width="11.1015625" style="2" customWidth="1"/>
    <col min="9233" max="9472" width="9.1015625" style="2"/>
    <col min="9473" max="9473" width="7.7890625" style="2" customWidth="1"/>
    <col min="9474" max="9474" width="11.1015625" style="2" bestFit="1" customWidth="1"/>
    <col min="9475" max="9488" width="11.1015625" style="2" customWidth="1"/>
    <col min="9489" max="9728" width="9.1015625" style="2"/>
    <col min="9729" max="9729" width="7.7890625" style="2" customWidth="1"/>
    <col min="9730" max="9730" width="11.1015625" style="2" bestFit="1" customWidth="1"/>
    <col min="9731" max="9744" width="11.1015625" style="2" customWidth="1"/>
    <col min="9745" max="9984" width="9.1015625" style="2"/>
    <col min="9985" max="9985" width="7.7890625" style="2" customWidth="1"/>
    <col min="9986" max="9986" width="11.1015625" style="2" bestFit="1" customWidth="1"/>
    <col min="9987" max="10000" width="11.1015625" style="2" customWidth="1"/>
    <col min="10001" max="10240" width="9.1015625" style="2"/>
    <col min="10241" max="10241" width="7.7890625" style="2" customWidth="1"/>
    <col min="10242" max="10242" width="11.1015625" style="2" bestFit="1" customWidth="1"/>
    <col min="10243" max="10256" width="11.1015625" style="2" customWidth="1"/>
    <col min="10257" max="10496" width="9.1015625" style="2"/>
    <col min="10497" max="10497" width="7.7890625" style="2" customWidth="1"/>
    <col min="10498" max="10498" width="11.1015625" style="2" bestFit="1" customWidth="1"/>
    <col min="10499" max="10512" width="11.1015625" style="2" customWidth="1"/>
    <col min="10513" max="10752" width="9.1015625" style="2"/>
    <col min="10753" max="10753" width="7.7890625" style="2" customWidth="1"/>
    <col min="10754" max="10754" width="11.1015625" style="2" bestFit="1" customWidth="1"/>
    <col min="10755" max="10768" width="11.1015625" style="2" customWidth="1"/>
    <col min="10769" max="11008" width="9.1015625" style="2"/>
    <col min="11009" max="11009" width="7.7890625" style="2" customWidth="1"/>
    <col min="11010" max="11010" width="11.1015625" style="2" bestFit="1" customWidth="1"/>
    <col min="11011" max="11024" width="11.1015625" style="2" customWidth="1"/>
    <col min="11025" max="11264" width="9.1015625" style="2"/>
    <col min="11265" max="11265" width="7.7890625" style="2" customWidth="1"/>
    <col min="11266" max="11266" width="11.1015625" style="2" bestFit="1" customWidth="1"/>
    <col min="11267" max="11280" width="11.1015625" style="2" customWidth="1"/>
    <col min="11281" max="11520" width="9.1015625" style="2"/>
    <col min="11521" max="11521" width="7.7890625" style="2" customWidth="1"/>
    <col min="11522" max="11522" width="11.1015625" style="2" bestFit="1" customWidth="1"/>
    <col min="11523" max="11536" width="11.1015625" style="2" customWidth="1"/>
    <col min="11537" max="11776" width="9.1015625" style="2"/>
    <col min="11777" max="11777" width="7.7890625" style="2" customWidth="1"/>
    <col min="11778" max="11778" width="11.1015625" style="2" bestFit="1" customWidth="1"/>
    <col min="11779" max="11792" width="11.1015625" style="2" customWidth="1"/>
    <col min="11793" max="12032" width="9.1015625" style="2"/>
    <col min="12033" max="12033" width="7.7890625" style="2" customWidth="1"/>
    <col min="12034" max="12034" width="11.1015625" style="2" bestFit="1" customWidth="1"/>
    <col min="12035" max="12048" width="11.1015625" style="2" customWidth="1"/>
    <col min="12049" max="12288" width="9.1015625" style="2"/>
    <col min="12289" max="12289" width="7.7890625" style="2" customWidth="1"/>
    <col min="12290" max="12290" width="11.1015625" style="2" bestFit="1" customWidth="1"/>
    <col min="12291" max="12304" width="11.1015625" style="2" customWidth="1"/>
    <col min="12305" max="12544" width="9.1015625" style="2"/>
    <col min="12545" max="12545" width="7.7890625" style="2" customWidth="1"/>
    <col min="12546" max="12546" width="11.1015625" style="2" bestFit="1" customWidth="1"/>
    <col min="12547" max="12560" width="11.1015625" style="2" customWidth="1"/>
    <col min="12561" max="12800" width="9.1015625" style="2"/>
    <col min="12801" max="12801" width="7.7890625" style="2" customWidth="1"/>
    <col min="12802" max="12802" width="11.1015625" style="2" bestFit="1" customWidth="1"/>
    <col min="12803" max="12816" width="11.1015625" style="2" customWidth="1"/>
    <col min="12817" max="13056" width="9.1015625" style="2"/>
    <col min="13057" max="13057" width="7.7890625" style="2" customWidth="1"/>
    <col min="13058" max="13058" width="11.1015625" style="2" bestFit="1" customWidth="1"/>
    <col min="13059" max="13072" width="11.1015625" style="2" customWidth="1"/>
    <col min="13073" max="13312" width="9.1015625" style="2"/>
    <col min="13313" max="13313" width="7.7890625" style="2" customWidth="1"/>
    <col min="13314" max="13314" width="11.1015625" style="2" bestFit="1" customWidth="1"/>
    <col min="13315" max="13328" width="11.1015625" style="2" customWidth="1"/>
    <col min="13329" max="13568" width="9.1015625" style="2"/>
    <col min="13569" max="13569" width="7.7890625" style="2" customWidth="1"/>
    <col min="13570" max="13570" width="11.1015625" style="2" bestFit="1" customWidth="1"/>
    <col min="13571" max="13584" width="11.1015625" style="2" customWidth="1"/>
    <col min="13585" max="13824" width="9.1015625" style="2"/>
    <col min="13825" max="13825" width="7.7890625" style="2" customWidth="1"/>
    <col min="13826" max="13826" width="11.1015625" style="2" bestFit="1" customWidth="1"/>
    <col min="13827" max="13840" width="11.1015625" style="2" customWidth="1"/>
    <col min="13841" max="14080" width="9.1015625" style="2"/>
    <col min="14081" max="14081" width="7.7890625" style="2" customWidth="1"/>
    <col min="14082" max="14082" width="11.1015625" style="2" bestFit="1" customWidth="1"/>
    <col min="14083" max="14096" width="11.1015625" style="2" customWidth="1"/>
    <col min="14097" max="14336" width="9.1015625" style="2"/>
    <col min="14337" max="14337" width="7.7890625" style="2" customWidth="1"/>
    <col min="14338" max="14338" width="11.1015625" style="2" bestFit="1" customWidth="1"/>
    <col min="14339" max="14352" width="11.1015625" style="2" customWidth="1"/>
    <col min="14353" max="14592" width="9.1015625" style="2"/>
    <col min="14593" max="14593" width="7.7890625" style="2" customWidth="1"/>
    <col min="14594" max="14594" width="11.1015625" style="2" bestFit="1" customWidth="1"/>
    <col min="14595" max="14608" width="11.1015625" style="2" customWidth="1"/>
    <col min="14609" max="14848" width="9.1015625" style="2"/>
    <col min="14849" max="14849" width="7.7890625" style="2" customWidth="1"/>
    <col min="14850" max="14850" width="11.1015625" style="2" bestFit="1" customWidth="1"/>
    <col min="14851" max="14864" width="11.1015625" style="2" customWidth="1"/>
    <col min="14865" max="15104" width="9.1015625" style="2"/>
    <col min="15105" max="15105" width="7.7890625" style="2" customWidth="1"/>
    <col min="15106" max="15106" width="11.1015625" style="2" bestFit="1" customWidth="1"/>
    <col min="15107" max="15120" width="11.1015625" style="2" customWidth="1"/>
    <col min="15121" max="15360" width="9.1015625" style="2"/>
    <col min="15361" max="15361" width="7.7890625" style="2" customWidth="1"/>
    <col min="15362" max="15362" width="11.1015625" style="2" bestFit="1" customWidth="1"/>
    <col min="15363" max="15376" width="11.1015625" style="2" customWidth="1"/>
    <col min="15377" max="15616" width="9.1015625" style="2"/>
    <col min="15617" max="15617" width="7.7890625" style="2" customWidth="1"/>
    <col min="15618" max="15618" width="11.1015625" style="2" bestFit="1" customWidth="1"/>
    <col min="15619" max="15632" width="11.1015625" style="2" customWidth="1"/>
    <col min="15633" max="15872" width="9.1015625" style="2"/>
    <col min="15873" max="15873" width="7.7890625" style="2" customWidth="1"/>
    <col min="15874" max="15874" width="11.1015625" style="2" bestFit="1" customWidth="1"/>
    <col min="15875" max="15888" width="11.1015625" style="2" customWidth="1"/>
    <col min="15889" max="16128" width="9.1015625" style="2"/>
    <col min="16129" max="16129" width="7.7890625" style="2" customWidth="1"/>
    <col min="16130" max="16130" width="11.1015625" style="2" bestFit="1" customWidth="1"/>
    <col min="16131" max="16144" width="11.1015625" style="2" customWidth="1"/>
    <col min="16145" max="16384" width="9.1015625" style="2"/>
  </cols>
  <sheetData>
    <row r="1" spans="1:13" ht="14.4" x14ac:dyDescent="0.55000000000000004">
      <c r="A1" s="7" t="s">
        <v>65</v>
      </c>
      <c r="B1" s="7"/>
    </row>
    <row r="2" spans="1:13" ht="14.4" x14ac:dyDescent="0.55000000000000004">
      <c r="A2" s="7"/>
      <c r="B2" s="13" t="s">
        <v>61</v>
      </c>
    </row>
    <row r="3" spans="1:13" ht="14.4" x14ac:dyDescent="0.55000000000000004">
      <c r="A3" s="7"/>
      <c r="B3" s="13" t="s">
        <v>60</v>
      </c>
    </row>
    <row r="4" spans="1:13" ht="14.4" x14ac:dyDescent="0.55000000000000004">
      <c r="B4" s="1" t="s">
        <v>62</v>
      </c>
    </row>
    <row r="5" spans="1:13" ht="14.4" x14ac:dyDescent="0.55000000000000004">
      <c r="C5" s="21" t="s">
        <v>63</v>
      </c>
    </row>
    <row r="6" spans="1:13" ht="14.4" x14ac:dyDescent="0.55000000000000004">
      <c r="C6" s="21" t="s">
        <v>64</v>
      </c>
      <c r="J6" s="8" t="s">
        <v>266</v>
      </c>
    </row>
    <row r="7" spans="1:13" x14ac:dyDescent="0.4">
      <c r="A7" s="8"/>
    </row>
    <row r="8" spans="1:13" s="9" customFormat="1" ht="14.4" x14ac:dyDescent="0.55000000000000004">
      <c r="A8" s="33" t="s">
        <v>0</v>
      </c>
      <c r="B8" s="34" t="s">
        <v>1</v>
      </c>
      <c r="C8" s="34" t="s">
        <v>2</v>
      </c>
      <c r="D8" s="34" t="s">
        <v>3</v>
      </c>
      <c r="E8" s="34" t="s">
        <v>4</v>
      </c>
      <c r="J8" s="41" t="s">
        <v>1</v>
      </c>
      <c r="K8" t="s">
        <v>263</v>
      </c>
      <c r="L8" t="s">
        <v>264</v>
      </c>
      <c r="M8" t="s">
        <v>265</v>
      </c>
    </row>
    <row r="9" spans="1:13" ht="14.4" x14ac:dyDescent="0.55000000000000004">
      <c r="A9" s="35">
        <v>2010</v>
      </c>
      <c r="B9" s="36" t="s">
        <v>5</v>
      </c>
      <c r="C9" s="37">
        <v>12450</v>
      </c>
      <c r="D9" s="37">
        <v>-23587</v>
      </c>
      <c r="E9" s="36">
        <v>0.02</v>
      </c>
      <c r="J9" s="42" t="s">
        <v>70</v>
      </c>
      <c r="K9">
        <v>324136.22244639997</v>
      </c>
      <c r="L9">
        <v>39741.919447775996</v>
      </c>
      <c r="M9">
        <v>0.14043802499999997</v>
      </c>
    </row>
    <row r="10" spans="1:13" ht="14.4" x14ac:dyDescent="0.55000000000000004">
      <c r="A10" s="35">
        <v>2010</v>
      </c>
      <c r="B10" s="36" t="s">
        <v>6</v>
      </c>
      <c r="C10" s="37">
        <v>235888</v>
      </c>
      <c r="D10" s="37">
        <v>63823</v>
      </c>
      <c r="E10" s="38">
        <v>0.05</v>
      </c>
      <c r="J10" s="42" t="s">
        <v>66</v>
      </c>
      <c r="K10">
        <v>199200</v>
      </c>
      <c r="L10">
        <v>20576</v>
      </c>
      <c r="M10">
        <v>16</v>
      </c>
    </row>
    <row r="11" spans="1:13" ht="14.4" x14ac:dyDescent="0.55000000000000004">
      <c r="A11" s="35">
        <v>2010</v>
      </c>
      <c r="B11" s="36" t="s">
        <v>7</v>
      </c>
      <c r="C11" s="37">
        <v>145318</v>
      </c>
      <c r="D11" s="37">
        <v>-30324</v>
      </c>
      <c r="E11" s="38">
        <v>0.13</v>
      </c>
      <c r="J11" s="42" t="s">
        <v>68</v>
      </c>
      <c r="K11">
        <v>250680</v>
      </c>
      <c r="L11">
        <v>61864</v>
      </c>
      <c r="M11">
        <v>0.04</v>
      </c>
    </row>
    <row r="12" spans="1:13" ht="14.4" x14ac:dyDescent="0.55000000000000004">
      <c r="A12" s="35">
        <v>2010</v>
      </c>
      <c r="B12" s="36" t="s">
        <v>8</v>
      </c>
      <c r="C12" s="37">
        <v>438170</v>
      </c>
      <c r="D12" s="37">
        <v>52580.4</v>
      </c>
      <c r="E12" s="38">
        <v>0.18</v>
      </c>
      <c r="J12" s="42" t="s">
        <v>72</v>
      </c>
      <c r="K12">
        <v>130720</v>
      </c>
      <c r="L12">
        <v>32680</v>
      </c>
      <c r="M12">
        <v>0.1138</v>
      </c>
    </row>
    <row r="13" spans="1:13" ht="14.4" x14ac:dyDescent="0.55000000000000004">
      <c r="A13" s="35">
        <v>2010</v>
      </c>
      <c r="B13" s="36" t="s">
        <v>9</v>
      </c>
      <c r="C13" s="37">
        <v>132408</v>
      </c>
      <c r="D13" s="37">
        <v>26481.600000000002</v>
      </c>
      <c r="E13" s="38">
        <v>0.11</v>
      </c>
      <c r="J13" s="42" t="s">
        <v>5</v>
      </c>
      <c r="K13">
        <v>2435610</v>
      </c>
      <c r="L13">
        <v>365513</v>
      </c>
      <c r="M13">
        <v>0.13222222222222221</v>
      </c>
    </row>
    <row r="14" spans="1:13" ht="14.4" x14ac:dyDescent="0.55000000000000004">
      <c r="A14" s="35">
        <v>2011</v>
      </c>
      <c r="B14" s="36" t="s">
        <v>5</v>
      </c>
      <c r="C14" s="37">
        <v>24900</v>
      </c>
      <c r="D14" s="37">
        <v>-10341</v>
      </c>
      <c r="E14" s="38">
        <v>0.04</v>
      </c>
      <c r="J14" s="42" t="s">
        <v>6</v>
      </c>
      <c r="K14">
        <v>1797809</v>
      </c>
      <c r="L14">
        <v>491418</v>
      </c>
      <c r="M14">
        <v>5.4999999999999993E-2</v>
      </c>
    </row>
    <row r="15" spans="1:13" ht="14.4" x14ac:dyDescent="0.55000000000000004">
      <c r="A15" s="35">
        <v>2011</v>
      </c>
      <c r="B15" s="36" t="s">
        <v>6</v>
      </c>
      <c r="C15" s="37">
        <v>203024</v>
      </c>
      <c r="D15" s="37">
        <v>60289</v>
      </c>
      <c r="E15" s="38">
        <v>7.0000000000000007E-2</v>
      </c>
      <c r="J15" s="42" t="s">
        <v>67</v>
      </c>
      <c r="K15">
        <v>226570</v>
      </c>
      <c r="L15">
        <v>61902</v>
      </c>
      <c r="M15">
        <v>0.04</v>
      </c>
    </row>
    <row r="16" spans="1:13" ht="14.4" x14ac:dyDescent="0.55000000000000004">
      <c r="A16" s="35">
        <v>2011</v>
      </c>
      <c r="B16" s="36" t="s">
        <v>7</v>
      </c>
      <c r="C16" s="37">
        <v>98046</v>
      </c>
      <c r="D16" s="37">
        <v>-28634</v>
      </c>
      <c r="E16" s="38">
        <v>0.13</v>
      </c>
      <c r="J16" s="42" t="s">
        <v>7</v>
      </c>
      <c r="K16">
        <v>1233129</v>
      </c>
      <c r="L16">
        <v>-95676</v>
      </c>
      <c r="M16">
        <v>1.1180000000000001</v>
      </c>
    </row>
    <row r="17" spans="1:23" ht="14.4" x14ac:dyDescent="0.55000000000000004">
      <c r="A17" s="35">
        <v>2011</v>
      </c>
      <c r="B17" s="36" t="s">
        <v>8</v>
      </c>
      <c r="C17" s="37">
        <v>411879.8</v>
      </c>
      <c r="D17" s="37">
        <v>49425.576000000001</v>
      </c>
      <c r="E17" s="38">
        <v>0.17099999999999999</v>
      </c>
      <c r="J17" s="42" t="s">
        <v>69</v>
      </c>
      <c r="K17">
        <v>127689</v>
      </c>
      <c r="L17">
        <v>6401</v>
      </c>
      <c r="M17">
        <v>0.14000000000000001</v>
      </c>
    </row>
    <row r="18" spans="1:23" ht="14.4" x14ac:dyDescent="0.55000000000000004">
      <c r="A18" s="36">
        <v>2011</v>
      </c>
      <c r="B18" s="36" t="s">
        <v>9</v>
      </c>
      <c r="C18" s="37">
        <v>125473</v>
      </c>
      <c r="D18" s="37">
        <v>31368.25</v>
      </c>
      <c r="E18" s="38">
        <v>0.09</v>
      </c>
      <c r="J18" s="42" t="s">
        <v>8</v>
      </c>
      <c r="K18">
        <v>2842639.3336751349</v>
      </c>
      <c r="L18">
        <v>343098.59283981228</v>
      </c>
      <c r="M18">
        <v>0.13217176997268268</v>
      </c>
    </row>
    <row r="19" spans="1:23" ht="14.4" x14ac:dyDescent="0.55000000000000004">
      <c r="A19" s="36">
        <v>2012</v>
      </c>
      <c r="B19" s="36" t="s">
        <v>5</v>
      </c>
      <c r="C19" s="37">
        <v>49800</v>
      </c>
      <c r="D19" s="37">
        <v>-1943</v>
      </c>
      <c r="E19" s="38">
        <v>7.0000000000000007E-2</v>
      </c>
      <c r="J19" s="42" t="s">
        <v>9</v>
      </c>
      <c r="K19">
        <v>1036752</v>
      </c>
      <c r="L19">
        <v>267915.1166666667</v>
      </c>
      <c r="M19">
        <v>0.96887499999999993</v>
      </c>
    </row>
    <row r="20" spans="1:23" ht="14.4" x14ac:dyDescent="0.55000000000000004">
      <c r="A20" s="36">
        <v>2012</v>
      </c>
      <c r="B20" s="36" t="s">
        <v>67</v>
      </c>
      <c r="C20" s="37">
        <v>226570</v>
      </c>
      <c r="D20" s="37">
        <v>61902</v>
      </c>
      <c r="E20" s="38">
        <v>0.04</v>
      </c>
      <c r="J20" s="42" t="s">
        <v>71</v>
      </c>
      <c r="K20">
        <v>134296</v>
      </c>
      <c r="L20">
        <v>44765.333333333328</v>
      </c>
      <c r="M20">
        <v>0.12</v>
      </c>
    </row>
    <row r="21" spans="1:23" ht="14.4" x14ac:dyDescent="0.55000000000000004">
      <c r="A21" s="36">
        <v>2012</v>
      </c>
      <c r="B21" s="36" t="s">
        <v>7</v>
      </c>
      <c r="C21" s="37">
        <v>120729</v>
      </c>
      <c r="D21" s="37">
        <v>-21015</v>
      </c>
      <c r="E21" s="38">
        <v>0.13</v>
      </c>
      <c r="J21" s="42" t="s">
        <v>262</v>
      </c>
      <c r="K21">
        <v>10739230.556121534</v>
      </c>
      <c r="L21">
        <v>1640198.9622875883</v>
      </c>
      <c r="M21">
        <v>0.75185850891674777</v>
      </c>
    </row>
    <row r="22" spans="1:23" ht="14.4" x14ac:dyDescent="0.55000000000000004">
      <c r="A22" s="36">
        <v>2012</v>
      </c>
      <c r="B22" s="36" t="s">
        <v>8</v>
      </c>
      <c r="C22" s="37">
        <v>387167.01199999999</v>
      </c>
      <c r="D22" s="37">
        <v>46460.041440000001</v>
      </c>
      <c r="E22" s="38">
        <v>0.16244999999999998</v>
      </c>
      <c r="J22"/>
      <c r="K22"/>
      <c r="L22"/>
    </row>
    <row r="23" spans="1:23" ht="14.4" x14ac:dyDescent="0.55000000000000004">
      <c r="A23" s="36">
        <v>2012</v>
      </c>
      <c r="B23" s="36" t="s">
        <v>71</v>
      </c>
      <c r="C23" s="37">
        <v>134296</v>
      </c>
      <c r="D23" s="37">
        <v>44765.333333333328</v>
      </c>
      <c r="E23" s="38">
        <v>0.12</v>
      </c>
      <c r="J23"/>
      <c r="K23"/>
      <c r="L23"/>
    </row>
    <row r="24" spans="1:23" ht="14.4" x14ac:dyDescent="0.55000000000000004">
      <c r="A24" s="36">
        <v>2013</v>
      </c>
      <c r="B24" s="36" t="s">
        <v>5</v>
      </c>
      <c r="C24" s="37">
        <v>99600</v>
      </c>
      <c r="D24" s="37">
        <v>11632</v>
      </c>
      <c r="E24" s="38">
        <v>0.13</v>
      </c>
      <c r="J24"/>
      <c r="K24"/>
      <c r="L24"/>
    </row>
    <row r="25" spans="1:23" ht="14.4" x14ac:dyDescent="0.55000000000000004">
      <c r="A25" s="36">
        <v>2013</v>
      </c>
      <c r="B25" s="36" t="s">
        <v>6</v>
      </c>
      <c r="C25" s="37">
        <v>246739</v>
      </c>
      <c r="D25" s="37">
        <v>62340</v>
      </c>
      <c r="E25" s="38">
        <v>0.06</v>
      </c>
      <c r="J25" s="41" t="s">
        <v>263</v>
      </c>
      <c r="K25" s="41" t="s">
        <v>267</v>
      </c>
      <c r="L25"/>
      <c r="M25"/>
      <c r="N25"/>
      <c r="O25"/>
      <c r="P25"/>
      <c r="Q25"/>
      <c r="R25"/>
      <c r="S25"/>
      <c r="T25"/>
      <c r="U25"/>
      <c r="V25"/>
      <c r="W25"/>
    </row>
    <row r="26" spans="1:23" ht="14.4" x14ac:dyDescent="0.55000000000000004">
      <c r="A26" s="36">
        <v>2013</v>
      </c>
      <c r="B26" s="36" t="s">
        <v>7</v>
      </c>
      <c r="C26" s="37">
        <v>159714</v>
      </c>
      <c r="D26" s="37">
        <v>8025</v>
      </c>
      <c r="E26" s="38">
        <v>0.14000000000000001</v>
      </c>
      <c r="J26" s="41" t="s">
        <v>261</v>
      </c>
      <c r="K26" t="s">
        <v>70</v>
      </c>
      <c r="L26" t="s">
        <v>66</v>
      </c>
      <c r="M26" t="s">
        <v>68</v>
      </c>
      <c r="N26" t="s">
        <v>72</v>
      </c>
      <c r="O26" t="s">
        <v>5</v>
      </c>
      <c r="P26" t="s">
        <v>6</v>
      </c>
      <c r="Q26" t="s">
        <v>67</v>
      </c>
      <c r="R26" t="s">
        <v>7</v>
      </c>
      <c r="S26" t="s">
        <v>69</v>
      </c>
      <c r="T26" t="s">
        <v>8</v>
      </c>
      <c r="U26" t="s">
        <v>9</v>
      </c>
      <c r="V26" t="s">
        <v>71</v>
      </c>
      <c r="W26" t="s">
        <v>262</v>
      </c>
    </row>
    <row r="27" spans="1:23" ht="14.4" x14ac:dyDescent="0.55000000000000004">
      <c r="A27" s="36">
        <v>2013</v>
      </c>
      <c r="B27" s="36" t="s">
        <v>8</v>
      </c>
      <c r="C27" s="37">
        <v>352321.98092</v>
      </c>
      <c r="D27" s="37">
        <v>42278.637710399998</v>
      </c>
      <c r="E27" s="38">
        <v>0.15432749999999998</v>
      </c>
      <c r="J27" s="42">
        <v>2010</v>
      </c>
      <c r="K27"/>
      <c r="L27"/>
      <c r="M27"/>
      <c r="N27"/>
      <c r="O27">
        <v>12450</v>
      </c>
      <c r="P27">
        <v>235888</v>
      </c>
      <c r="Q27"/>
      <c r="R27">
        <v>145318</v>
      </c>
      <c r="S27"/>
      <c r="T27">
        <v>438170</v>
      </c>
      <c r="U27">
        <v>132408</v>
      </c>
      <c r="V27"/>
      <c r="W27">
        <v>964234</v>
      </c>
    </row>
    <row r="28" spans="1:23" ht="14.4" x14ac:dyDescent="0.55000000000000004">
      <c r="A28" s="36">
        <v>2013</v>
      </c>
      <c r="B28" s="36" t="s">
        <v>9</v>
      </c>
      <c r="C28" s="37">
        <v>128478</v>
      </c>
      <c r="D28" s="37">
        <v>25695.600000000002</v>
      </c>
      <c r="E28" s="38">
        <v>0.1</v>
      </c>
      <c r="J28" s="42">
        <v>2011</v>
      </c>
      <c r="K28"/>
      <c r="L28"/>
      <c r="M28"/>
      <c r="N28"/>
      <c r="O28">
        <v>24900</v>
      </c>
      <c r="P28">
        <v>203024</v>
      </c>
      <c r="Q28"/>
      <c r="R28">
        <v>98046</v>
      </c>
      <c r="S28"/>
      <c r="T28">
        <v>411879.8</v>
      </c>
      <c r="U28">
        <v>125473</v>
      </c>
      <c r="V28"/>
      <c r="W28">
        <v>863322.8</v>
      </c>
    </row>
    <row r="29" spans="1:23" ht="14.4" x14ac:dyDescent="0.55000000000000004">
      <c r="A29" s="36">
        <v>2014</v>
      </c>
      <c r="B29" s="36" t="s">
        <v>66</v>
      </c>
      <c r="C29" s="37">
        <v>199200</v>
      </c>
      <c r="D29" s="37">
        <v>20576</v>
      </c>
      <c r="E29" s="39">
        <v>16</v>
      </c>
      <c r="J29" s="42">
        <v>2012</v>
      </c>
      <c r="K29"/>
      <c r="L29"/>
      <c r="M29"/>
      <c r="N29"/>
      <c r="O29">
        <v>49800</v>
      </c>
      <c r="P29"/>
      <c r="Q29">
        <v>226570</v>
      </c>
      <c r="R29">
        <v>120729</v>
      </c>
      <c r="S29"/>
      <c r="T29">
        <v>387167.01199999999</v>
      </c>
      <c r="U29"/>
      <c r="V29">
        <v>134296</v>
      </c>
      <c r="W29">
        <v>918562.01199999999</v>
      </c>
    </row>
    <row r="30" spans="1:23" ht="14.4" x14ac:dyDescent="0.55000000000000004">
      <c r="A30" s="36">
        <v>2014</v>
      </c>
      <c r="B30" s="36" t="s">
        <v>6</v>
      </c>
      <c r="C30" s="37">
        <v>224898</v>
      </c>
      <c r="D30" s="37">
        <v>59786</v>
      </c>
      <c r="E30" s="38">
        <v>0.06</v>
      </c>
      <c r="J30" s="42">
        <v>2013</v>
      </c>
      <c r="K30"/>
      <c r="L30"/>
      <c r="M30"/>
      <c r="N30"/>
      <c r="O30">
        <v>99600</v>
      </c>
      <c r="P30">
        <v>246739</v>
      </c>
      <c r="Q30"/>
      <c r="R30">
        <v>159714</v>
      </c>
      <c r="S30"/>
      <c r="T30">
        <v>352321.98092</v>
      </c>
      <c r="U30">
        <v>128478</v>
      </c>
      <c r="V30"/>
      <c r="W30">
        <v>986852.98092</v>
      </c>
    </row>
    <row r="31" spans="1:23" ht="14.4" x14ac:dyDescent="0.55000000000000004">
      <c r="A31" s="36">
        <v>2014</v>
      </c>
      <c r="B31" s="36" t="s">
        <v>7</v>
      </c>
      <c r="C31" s="37">
        <v>153627</v>
      </c>
      <c r="D31" s="37">
        <v>-1171</v>
      </c>
      <c r="E31" s="38">
        <v>0.12</v>
      </c>
      <c r="J31" s="42">
        <v>2014</v>
      </c>
      <c r="K31">
        <v>324136.22244639997</v>
      </c>
      <c r="L31">
        <v>199200</v>
      </c>
      <c r="M31"/>
      <c r="N31"/>
      <c r="O31"/>
      <c r="P31">
        <v>224898</v>
      </c>
      <c r="Q31"/>
      <c r="R31">
        <v>153627</v>
      </c>
      <c r="S31"/>
      <c r="T31"/>
      <c r="U31">
        <v>123742</v>
      </c>
      <c r="V31"/>
      <c r="W31">
        <v>1025603.2224464</v>
      </c>
    </row>
    <row r="32" spans="1:23" ht="14.4" x14ac:dyDescent="0.55000000000000004">
      <c r="A32" s="36">
        <v>2014</v>
      </c>
      <c r="B32" s="36" t="s">
        <v>70</v>
      </c>
      <c r="C32" s="37">
        <v>324136.22244639997</v>
      </c>
      <c r="D32" s="37">
        <v>39741.919447775996</v>
      </c>
      <c r="E32" s="38">
        <v>0.14043802499999997</v>
      </c>
      <c r="J32" s="42">
        <v>2015</v>
      </c>
      <c r="K32"/>
      <c r="L32"/>
      <c r="M32">
        <v>250680</v>
      </c>
      <c r="N32"/>
      <c r="O32">
        <v>398400</v>
      </c>
      <c r="P32"/>
      <c r="Q32"/>
      <c r="R32"/>
      <c r="S32">
        <v>127689</v>
      </c>
      <c r="T32">
        <v>307929.41132407996</v>
      </c>
      <c r="U32">
        <v>129465</v>
      </c>
      <c r="V32"/>
      <c r="W32">
        <v>1214163.4113240801</v>
      </c>
    </row>
    <row r="33" spans="1:23" ht="14.4" x14ac:dyDescent="0.55000000000000004">
      <c r="A33" s="36">
        <v>2014</v>
      </c>
      <c r="B33" s="36" t="s">
        <v>9</v>
      </c>
      <c r="C33" s="37">
        <v>123742</v>
      </c>
      <c r="D33" s="37">
        <v>30935.5</v>
      </c>
      <c r="E33" s="38">
        <v>7</v>
      </c>
      <c r="J33" s="42">
        <v>2016</v>
      </c>
      <c r="K33"/>
      <c r="L33"/>
      <c r="M33"/>
      <c r="N33">
        <v>130720</v>
      </c>
      <c r="O33">
        <v>426732</v>
      </c>
      <c r="P33">
        <v>209309</v>
      </c>
      <c r="Q33"/>
      <c r="R33">
        <v>103829</v>
      </c>
      <c r="S33"/>
      <c r="T33">
        <v>274057.17607843119</v>
      </c>
      <c r="U33"/>
      <c r="V33"/>
      <c r="W33">
        <v>1144647.1760784313</v>
      </c>
    </row>
    <row r="34" spans="1:23" ht="14.4" x14ac:dyDescent="0.55000000000000004">
      <c r="A34" s="36">
        <v>2015</v>
      </c>
      <c r="B34" s="36" t="s">
        <v>5</v>
      </c>
      <c r="C34" s="37">
        <v>398400</v>
      </c>
      <c r="D34" s="37">
        <v>43734</v>
      </c>
      <c r="E34" s="38">
        <v>0.18</v>
      </c>
      <c r="J34" s="42">
        <v>2017</v>
      </c>
      <c r="K34"/>
      <c r="L34"/>
      <c r="M34"/>
      <c r="N34"/>
      <c r="O34">
        <v>452782</v>
      </c>
      <c r="P34">
        <v>235713</v>
      </c>
      <c r="Q34"/>
      <c r="R34">
        <v>163953</v>
      </c>
      <c r="S34"/>
      <c r="T34">
        <v>249392.0302313724</v>
      </c>
      <c r="U34">
        <v>127120</v>
      </c>
      <c r="V34"/>
      <c r="W34">
        <v>1228960.0302313725</v>
      </c>
    </row>
    <row r="35" spans="1:23" ht="14.4" x14ac:dyDescent="0.55000000000000004">
      <c r="A35" s="36">
        <v>2015</v>
      </c>
      <c r="B35" s="36" t="s">
        <v>68</v>
      </c>
      <c r="C35" s="37">
        <v>250680</v>
      </c>
      <c r="D35" s="37">
        <v>61864</v>
      </c>
      <c r="E35" s="38">
        <v>0.04</v>
      </c>
      <c r="J35" s="42">
        <v>2018</v>
      </c>
      <c r="K35"/>
      <c r="L35"/>
      <c r="M35"/>
      <c r="N35"/>
      <c r="O35">
        <v>478123</v>
      </c>
      <c r="P35">
        <v>232016</v>
      </c>
      <c r="Q35"/>
      <c r="R35">
        <v>131279</v>
      </c>
      <c r="S35"/>
      <c r="T35">
        <v>221958.90690592144</v>
      </c>
      <c r="U35">
        <v>138274</v>
      </c>
      <c r="V35"/>
      <c r="W35">
        <v>1201650.9069059214</v>
      </c>
    </row>
    <row r="36" spans="1:23" ht="14.4" x14ac:dyDescent="0.55000000000000004">
      <c r="A36" s="36">
        <v>2015</v>
      </c>
      <c r="B36" s="36" t="s">
        <v>69</v>
      </c>
      <c r="C36" s="37">
        <v>127689</v>
      </c>
      <c r="D36" s="37">
        <v>6401</v>
      </c>
      <c r="E36" s="38">
        <v>0.14000000000000001</v>
      </c>
      <c r="J36" s="42">
        <v>2019</v>
      </c>
      <c r="K36"/>
      <c r="L36"/>
      <c r="M36"/>
      <c r="N36"/>
      <c r="O36">
        <v>492823</v>
      </c>
      <c r="P36">
        <v>210222</v>
      </c>
      <c r="Q36"/>
      <c r="R36">
        <v>156634</v>
      </c>
      <c r="S36"/>
      <c r="T36">
        <v>199763.01621532929</v>
      </c>
      <c r="U36">
        <v>131792</v>
      </c>
      <c r="V36"/>
      <c r="W36">
        <v>1191234.0162153293</v>
      </c>
    </row>
    <row r="37" spans="1:23" ht="14.4" x14ac:dyDescent="0.55000000000000004">
      <c r="A37" s="36">
        <v>2015</v>
      </c>
      <c r="B37" s="36" t="s">
        <v>8</v>
      </c>
      <c r="C37" s="37">
        <v>307929.41132407996</v>
      </c>
      <c r="D37" s="37">
        <v>36165.146697476157</v>
      </c>
      <c r="E37" s="38">
        <v>0.12920298299999997</v>
      </c>
      <c r="J37" s="42" t="s">
        <v>262</v>
      </c>
      <c r="K37">
        <v>324136.22244639997</v>
      </c>
      <c r="L37">
        <v>199200</v>
      </c>
      <c r="M37">
        <v>250680</v>
      </c>
      <c r="N37">
        <v>130720</v>
      </c>
      <c r="O37">
        <v>2435610</v>
      </c>
      <c r="P37">
        <v>1797809</v>
      </c>
      <c r="Q37">
        <v>226570</v>
      </c>
      <c r="R37">
        <v>1233129</v>
      </c>
      <c r="S37">
        <v>127689</v>
      </c>
      <c r="T37">
        <v>2842639.3336751349</v>
      </c>
      <c r="U37">
        <v>1036752</v>
      </c>
      <c r="V37">
        <v>134296</v>
      </c>
      <c r="W37">
        <v>10739230.556121536</v>
      </c>
    </row>
    <row r="38" spans="1:23" ht="14.4" x14ac:dyDescent="0.55000000000000004">
      <c r="A38" s="36">
        <v>2015</v>
      </c>
      <c r="B38" s="36" t="s">
        <v>9</v>
      </c>
      <c r="C38" s="37">
        <v>129465</v>
      </c>
      <c r="D38" s="37">
        <v>43155</v>
      </c>
      <c r="E38" s="38">
        <v>0.1045</v>
      </c>
      <c r="J38"/>
      <c r="K38"/>
      <c r="L38"/>
      <c r="M38"/>
      <c r="N38"/>
      <c r="O38"/>
      <c r="P38"/>
      <c r="Q38"/>
      <c r="R38"/>
      <c r="S38"/>
      <c r="T38"/>
      <c r="U38"/>
      <c r="V38"/>
      <c r="W38"/>
    </row>
    <row r="39" spans="1:23" ht="14.4" x14ac:dyDescent="0.55000000000000004">
      <c r="A39" s="36">
        <v>2016</v>
      </c>
      <c r="B39" s="36" t="s">
        <v>5</v>
      </c>
      <c r="C39" s="37">
        <v>426732</v>
      </c>
      <c r="D39" s="37">
        <v>60182</v>
      </c>
      <c r="E39" s="38">
        <v>0.19</v>
      </c>
      <c r="J39"/>
      <c r="K39"/>
      <c r="L39"/>
    </row>
    <row r="40" spans="1:23" ht="14.4" x14ac:dyDescent="0.55000000000000004">
      <c r="A40" s="36">
        <v>2016</v>
      </c>
      <c r="B40" s="36" t="s">
        <v>6</v>
      </c>
      <c r="C40" s="37">
        <v>209309</v>
      </c>
      <c r="D40" s="37">
        <v>58234</v>
      </c>
      <c r="E40" s="38">
        <v>0.05</v>
      </c>
      <c r="J40"/>
      <c r="K40"/>
      <c r="L40"/>
    </row>
    <row r="41" spans="1:23" ht="14.4" x14ac:dyDescent="0.55000000000000004">
      <c r="A41" s="36">
        <v>2016</v>
      </c>
      <c r="B41" s="36" t="s">
        <v>7</v>
      </c>
      <c r="C41" s="37">
        <v>103829</v>
      </c>
      <c r="D41" s="37">
        <v>-14651</v>
      </c>
      <c r="E41" s="38">
        <v>0.13</v>
      </c>
      <c r="J41"/>
      <c r="K41"/>
      <c r="L41"/>
    </row>
    <row r="42" spans="1:23" ht="14.4" x14ac:dyDescent="0.55000000000000004">
      <c r="A42" s="36">
        <v>2016</v>
      </c>
      <c r="B42" s="36" t="s">
        <v>8</v>
      </c>
      <c r="C42" s="37">
        <v>274057.17607843119</v>
      </c>
      <c r="D42" s="37">
        <v>33271.934961678067</v>
      </c>
      <c r="E42" s="38">
        <v>0.11499065486999997</v>
      </c>
      <c r="J42"/>
      <c r="K42"/>
      <c r="L42"/>
    </row>
    <row r="43" spans="1:23" x14ac:dyDescent="0.4">
      <c r="A43" s="36">
        <v>2016</v>
      </c>
      <c r="B43" s="36" t="s">
        <v>72</v>
      </c>
      <c r="C43" s="37">
        <v>130720</v>
      </c>
      <c r="D43" s="37">
        <v>32680</v>
      </c>
      <c r="E43" s="38">
        <v>0.1138</v>
      </c>
    </row>
    <row r="44" spans="1:23" x14ac:dyDescent="0.4">
      <c r="A44" s="36">
        <v>2017</v>
      </c>
      <c r="B44" s="36" t="s">
        <v>5</v>
      </c>
      <c r="C44" s="37">
        <v>452782</v>
      </c>
      <c r="D44" s="37">
        <v>83812</v>
      </c>
      <c r="E44" s="38">
        <v>0.17</v>
      </c>
    </row>
    <row r="45" spans="1:23" x14ac:dyDescent="0.4">
      <c r="A45" s="36">
        <v>2017</v>
      </c>
      <c r="B45" s="36" t="s">
        <v>6</v>
      </c>
      <c r="C45" s="37">
        <v>235713</v>
      </c>
      <c r="D45" s="37">
        <v>62890</v>
      </c>
      <c r="E45" s="38">
        <v>0.05</v>
      </c>
    </row>
    <row r="46" spans="1:23" x14ac:dyDescent="0.4">
      <c r="A46" s="36">
        <v>2017</v>
      </c>
      <c r="B46" s="36" t="s">
        <v>7</v>
      </c>
      <c r="C46" s="37">
        <v>163953</v>
      </c>
      <c r="D46" s="37">
        <v>5007</v>
      </c>
      <c r="E46" s="38">
        <v>10</v>
      </c>
    </row>
    <row r="47" spans="1:23" x14ac:dyDescent="0.4">
      <c r="A47" s="40"/>
      <c r="B47" s="36" t="s">
        <v>7</v>
      </c>
      <c r="C47" s="37"/>
      <c r="D47" s="37"/>
      <c r="E47" s="38">
        <v>0.13</v>
      </c>
    </row>
    <row r="48" spans="1:23" x14ac:dyDescent="0.4">
      <c r="A48" s="36">
        <v>2017</v>
      </c>
      <c r="B48" s="36" t="s">
        <v>8</v>
      </c>
      <c r="C48" s="37">
        <v>249392.0302313724</v>
      </c>
      <c r="D48" s="37">
        <v>30610.180164743822</v>
      </c>
      <c r="E48" s="38">
        <v>0.10349158938299997</v>
      </c>
    </row>
    <row r="49" spans="1:23" x14ac:dyDescent="0.4">
      <c r="A49" s="36">
        <v>2017</v>
      </c>
      <c r="B49" s="36" t="s">
        <v>9</v>
      </c>
      <c r="C49" s="37">
        <v>127120</v>
      </c>
      <c r="D49" s="37">
        <v>31780</v>
      </c>
      <c r="E49" s="38">
        <v>9.7600000000000006E-2</v>
      </c>
    </row>
    <row r="50" spans="1:23" x14ac:dyDescent="0.4">
      <c r="A50" s="36">
        <v>2018</v>
      </c>
      <c r="B50" s="36" t="s">
        <v>5</v>
      </c>
      <c r="C50" s="37">
        <v>478123</v>
      </c>
      <c r="D50" s="37">
        <v>93672</v>
      </c>
      <c r="E50" s="38">
        <v>0.2</v>
      </c>
    </row>
    <row r="51" spans="1:23" x14ac:dyDescent="0.4">
      <c r="A51" s="36">
        <v>2018</v>
      </c>
      <c r="B51" s="36" t="s">
        <v>6</v>
      </c>
      <c r="C51" s="37">
        <v>232016</v>
      </c>
      <c r="D51" s="37">
        <v>63276</v>
      </c>
      <c r="E51" s="38">
        <v>0.06</v>
      </c>
    </row>
    <row r="52" spans="1:23" x14ac:dyDescent="0.4">
      <c r="A52" s="36">
        <v>2018</v>
      </c>
      <c r="B52" s="36" t="s">
        <v>7</v>
      </c>
      <c r="C52" s="37">
        <v>131279</v>
      </c>
      <c r="D52" s="37">
        <v>10446</v>
      </c>
      <c r="E52" s="38">
        <v>0.14000000000000001</v>
      </c>
    </row>
    <row r="53" spans="1:23" x14ac:dyDescent="0.4">
      <c r="A53" s="36">
        <v>2018</v>
      </c>
      <c r="B53" s="36" t="s">
        <v>8</v>
      </c>
      <c r="C53" s="37">
        <v>221958.90690592144</v>
      </c>
      <c r="D53" s="37">
        <v>27243.060346622002</v>
      </c>
      <c r="E53" s="38">
        <v>9.2107514550869976E-2</v>
      </c>
    </row>
    <row r="54" spans="1:23" x14ac:dyDescent="0.4">
      <c r="A54" s="36">
        <v>2018</v>
      </c>
      <c r="B54" s="36" t="s">
        <v>9</v>
      </c>
      <c r="C54" s="37">
        <v>138274</v>
      </c>
      <c r="D54" s="37">
        <v>34568.5</v>
      </c>
      <c r="E54" s="38">
        <v>0.14000000000000001</v>
      </c>
    </row>
    <row r="55" spans="1:23" x14ac:dyDescent="0.4">
      <c r="A55" s="36">
        <v>2019</v>
      </c>
      <c r="B55" s="36" t="s">
        <v>5</v>
      </c>
      <c r="C55" s="37">
        <v>492823</v>
      </c>
      <c r="D55" s="37">
        <v>108352</v>
      </c>
      <c r="E55" s="38">
        <v>0.19</v>
      </c>
    </row>
    <row r="56" spans="1:23" x14ac:dyDescent="0.4">
      <c r="A56" s="36">
        <v>2019</v>
      </c>
      <c r="B56" s="36" t="s">
        <v>6</v>
      </c>
      <c r="C56" s="37">
        <v>210222</v>
      </c>
      <c r="D56" s="37">
        <v>60780</v>
      </c>
      <c r="E56" s="38">
        <v>0.04</v>
      </c>
    </row>
    <row r="57" spans="1:23" x14ac:dyDescent="0.4">
      <c r="A57" s="36">
        <v>2019</v>
      </c>
      <c r="B57" s="36" t="s">
        <v>7</v>
      </c>
      <c r="C57" s="37">
        <v>156634</v>
      </c>
      <c r="D57" s="37">
        <v>-23359</v>
      </c>
      <c r="E57" s="38">
        <v>0.13</v>
      </c>
    </row>
    <row r="58" spans="1:23" x14ac:dyDescent="0.4">
      <c r="A58" s="36">
        <v>2019</v>
      </c>
      <c r="B58" s="36" t="s">
        <v>8</v>
      </c>
      <c r="C58" s="37">
        <v>199763.01621532929</v>
      </c>
      <c r="D58" s="37">
        <v>25063.615518892242</v>
      </c>
      <c r="E58" s="38">
        <v>8.1975687950274281E-2</v>
      </c>
    </row>
    <row r="59" spans="1:23" ht="14.4" x14ac:dyDescent="0.55000000000000004">
      <c r="A59" s="36">
        <v>2019</v>
      </c>
      <c r="B59" s="36" t="s">
        <v>9</v>
      </c>
      <c r="C59" s="37">
        <v>131792</v>
      </c>
      <c r="D59" s="37">
        <v>43930.666666666664</v>
      </c>
      <c r="E59" s="38">
        <v>0.1089</v>
      </c>
      <c r="J59" s="41" t="s">
        <v>264</v>
      </c>
      <c r="K59" s="41" t="s">
        <v>267</v>
      </c>
      <c r="L59"/>
      <c r="M59"/>
      <c r="N59"/>
      <c r="O59"/>
      <c r="P59"/>
      <c r="Q59"/>
      <c r="R59"/>
      <c r="S59"/>
      <c r="T59"/>
      <c r="U59"/>
      <c r="V59"/>
      <c r="W59"/>
    </row>
    <row r="60" spans="1:23" ht="14.4" x14ac:dyDescent="0.55000000000000004">
      <c r="J60" s="41" t="s">
        <v>261</v>
      </c>
      <c r="K60" t="s">
        <v>70</v>
      </c>
      <c r="L60" t="s">
        <v>66</v>
      </c>
      <c r="M60" t="s">
        <v>68</v>
      </c>
      <c r="N60" t="s">
        <v>72</v>
      </c>
      <c r="O60" t="s">
        <v>5</v>
      </c>
      <c r="P60" t="s">
        <v>6</v>
      </c>
      <c r="Q60" t="s">
        <v>67</v>
      </c>
      <c r="R60" t="s">
        <v>7</v>
      </c>
      <c r="S60" t="s">
        <v>69</v>
      </c>
      <c r="T60" t="s">
        <v>8</v>
      </c>
      <c r="U60" t="s">
        <v>9</v>
      </c>
      <c r="V60" t="s">
        <v>71</v>
      </c>
      <c r="W60" t="s">
        <v>262</v>
      </c>
    </row>
    <row r="61" spans="1:23" ht="14.4" x14ac:dyDescent="0.55000000000000004">
      <c r="J61" s="42">
        <v>2010</v>
      </c>
      <c r="K61"/>
      <c r="L61"/>
      <c r="M61"/>
      <c r="N61"/>
      <c r="O61">
        <v>-23587</v>
      </c>
      <c r="P61">
        <v>63823</v>
      </c>
      <c r="Q61"/>
      <c r="R61">
        <v>-30324</v>
      </c>
      <c r="S61"/>
      <c r="T61">
        <v>52580.4</v>
      </c>
      <c r="U61">
        <v>26481.600000000002</v>
      </c>
      <c r="V61"/>
      <c r="W61">
        <v>88974</v>
      </c>
    </row>
    <row r="62" spans="1:23" ht="14.4" x14ac:dyDescent="0.55000000000000004">
      <c r="J62" s="42">
        <v>2011</v>
      </c>
      <c r="K62"/>
      <c r="L62"/>
      <c r="M62"/>
      <c r="N62"/>
      <c r="O62">
        <v>-10341</v>
      </c>
      <c r="P62">
        <v>60289</v>
      </c>
      <c r="Q62"/>
      <c r="R62">
        <v>-28634</v>
      </c>
      <c r="S62"/>
      <c r="T62">
        <v>49425.576000000001</v>
      </c>
      <c r="U62">
        <v>31368.25</v>
      </c>
      <c r="V62"/>
      <c r="W62">
        <v>102107.826</v>
      </c>
    </row>
    <row r="63" spans="1:23" ht="14.4" x14ac:dyDescent="0.55000000000000004">
      <c r="J63" s="42">
        <v>2012</v>
      </c>
      <c r="K63"/>
      <c r="L63"/>
      <c r="M63"/>
      <c r="N63"/>
      <c r="O63">
        <v>-1943</v>
      </c>
      <c r="P63"/>
      <c r="Q63">
        <v>61902</v>
      </c>
      <c r="R63">
        <v>-21015</v>
      </c>
      <c r="S63"/>
      <c r="T63">
        <v>46460.041440000001</v>
      </c>
      <c r="U63"/>
      <c r="V63">
        <v>44765.333333333328</v>
      </c>
      <c r="W63">
        <v>130169.37477333333</v>
      </c>
    </row>
    <row r="64" spans="1:23" ht="14.4" x14ac:dyDescent="0.55000000000000004">
      <c r="J64" s="42">
        <v>2013</v>
      </c>
      <c r="K64"/>
      <c r="L64"/>
      <c r="M64"/>
      <c r="N64"/>
      <c r="O64">
        <v>11632</v>
      </c>
      <c r="P64">
        <v>62340</v>
      </c>
      <c r="Q64"/>
      <c r="R64">
        <v>8025</v>
      </c>
      <c r="S64"/>
      <c r="T64">
        <v>42278.637710399998</v>
      </c>
      <c r="U64">
        <v>25695.600000000002</v>
      </c>
      <c r="V64"/>
      <c r="W64">
        <v>149971.23771039999</v>
      </c>
    </row>
    <row r="65" spans="10:23" ht="14.4" x14ac:dyDescent="0.55000000000000004">
      <c r="J65" s="42">
        <v>2014</v>
      </c>
      <c r="K65">
        <v>39741.919447775996</v>
      </c>
      <c r="L65">
        <v>20576</v>
      </c>
      <c r="M65"/>
      <c r="N65"/>
      <c r="O65"/>
      <c r="P65">
        <v>59786</v>
      </c>
      <c r="Q65"/>
      <c r="R65">
        <v>-1171</v>
      </c>
      <c r="S65"/>
      <c r="T65"/>
      <c r="U65">
        <v>30935.5</v>
      </c>
      <c r="V65"/>
      <c r="W65">
        <v>149868.41944777599</v>
      </c>
    </row>
    <row r="66" spans="10:23" ht="14.4" x14ac:dyDescent="0.55000000000000004">
      <c r="J66" s="42">
        <v>2015</v>
      </c>
      <c r="K66"/>
      <c r="L66"/>
      <c r="M66">
        <v>61864</v>
      </c>
      <c r="N66"/>
      <c r="O66">
        <v>43734</v>
      </c>
      <c r="P66"/>
      <c r="Q66"/>
      <c r="R66"/>
      <c r="S66">
        <v>6401</v>
      </c>
      <c r="T66">
        <v>36165.146697476157</v>
      </c>
      <c r="U66">
        <v>43155</v>
      </c>
      <c r="V66"/>
      <c r="W66">
        <v>191319.14669747616</v>
      </c>
    </row>
    <row r="67" spans="10:23" ht="14.4" x14ac:dyDescent="0.55000000000000004">
      <c r="J67" s="42">
        <v>2016</v>
      </c>
      <c r="K67"/>
      <c r="L67"/>
      <c r="M67"/>
      <c r="N67">
        <v>32680</v>
      </c>
      <c r="O67">
        <v>60182</v>
      </c>
      <c r="P67">
        <v>58234</v>
      </c>
      <c r="Q67"/>
      <c r="R67">
        <v>-14651</v>
      </c>
      <c r="S67"/>
      <c r="T67">
        <v>33271.934961678067</v>
      </c>
      <c r="U67"/>
      <c r="V67"/>
      <c r="W67">
        <v>169716.93496167805</v>
      </c>
    </row>
    <row r="68" spans="10:23" ht="14.4" x14ac:dyDescent="0.55000000000000004">
      <c r="J68" s="42">
        <v>2017</v>
      </c>
      <c r="K68"/>
      <c r="L68"/>
      <c r="M68"/>
      <c r="N68"/>
      <c r="O68">
        <v>83812</v>
      </c>
      <c r="P68">
        <v>62890</v>
      </c>
      <c r="Q68"/>
      <c r="R68">
        <v>5007</v>
      </c>
      <c r="S68"/>
      <c r="T68">
        <v>30610.180164743822</v>
      </c>
      <c r="U68">
        <v>31780</v>
      </c>
      <c r="V68"/>
      <c r="W68">
        <v>214099.18016474383</v>
      </c>
    </row>
    <row r="69" spans="10:23" ht="14.4" x14ac:dyDescent="0.55000000000000004">
      <c r="J69" s="42">
        <v>2018</v>
      </c>
      <c r="K69"/>
      <c r="L69"/>
      <c r="M69"/>
      <c r="N69"/>
      <c r="O69">
        <v>93672</v>
      </c>
      <c r="P69">
        <v>63276</v>
      </c>
      <c r="Q69"/>
      <c r="R69">
        <v>10446</v>
      </c>
      <c r="S69"/>
      <c r="T69">
        <v>27243.060346622002</v>
      </c>
      <c r="U69">
        <v>34568.5</v>
      </c>
      <c r="V69"/>
      <c r="W69">
        <v>229205.56034662199</v>
      </c>
    </row>
    <row r="70" spans="10:23" ht="14.4" x14ac:dyDescent="0.55000000000000004">
      <c r="J70" s="42">
        <v>2019</v>
      </c>
      <c r="K70"/>
      <c r="L70"/>
      <c r="M70"/>
      <c r="N70"/>
      <c r="O70">
        <v>108352</v>
      </c>
      <c r="P70">
        <v>60780</v>
      </c>
      <c r="Q70"/>
      <c r="R70">
        <v>-23359</v>
      </c>
      <c r="S70"/>
      <c r="T70">
        <v>25063.615518892242</v>
      </c>
      <c r="U70">
        <v>43930.666666666664</v>
      </c>
      <c r="V70"/>
      <c r="W70">
        <v>214767.2821855589</v>
      </c>
    </row>
    <row r="71" spans="10:23" ht="14.4" x14ac:dyDescent="0.55000000000000004">
      <c r="J71" s="42" t="s">
        <v>262</v>
      </c>
      <c r="K71">
        <v>39741.919447775996</v>
      </c>
      <c r="L71">
        <v>20576</v>
      </c>
      <c r="M71">
        <v>61864</v>
      </c>
      <c r="N71">
        <v>32680</v>
      </c>
      <c r="O71">
        <v>365513</v>
      </c>
      <c r="P71">
        <v>491418</v>
      </c>
      <c r="Q71">
        <v>61902</v>
      </c>
      <c r="R71">
        <v>-95676</v>
      </c>
      <c r="S71">
        <v>6401</v>
      </c>
      <c r="T71">
        <v>343098.59283981228</v>
      </c>
      <c r="U71">
        <v>267915.1166666667</v>
      </c>
      <c r="V71">
        <v>44765.333333333328</v>
      </c>
      <c r="W71">
        <v>1640198.9622875885</v>
      </c>
    </row>
    <row r="72" spans="10:23" ht="14.4" x14ac:dyDescent="0.55000000000000004">
      <c r="J72"/>
      <c r="K72"/>
      <c r="L72"/>
      <c r="M72"/>
      <c r="N72"/>
      <c r="O72"/>
      <c r="P72"/>
      <c r="Q72"/>
      <c r="R72"/>
      <c r="S72"/>
      <c r="T72"/>
      <c r="U72"/>
      <c r="V72"/>
      <c r="W72"/>
    </row>
    <row r="73" spans="10:23" ht="14.4" x14ac:dyDescent="0.55000000000000004">
      <c r="J73"/>
      <c r="K73"/>
      <c r="L73"/>
    </row>
    <row r="74" spans="10:23" ht="14.4" x14ac:dyDescent="0.55000000000000004">
      <c r="J74"/>
      <c r="K74"/>
      <c r="L74"/>
    </row>
    <row r="75" spans="10:23" ht="14.4" x14ac:dyDescent="0.55000000000000004">
      <c r="J75"/>
      <c r="K75"/>
      <c r="L75"/>
    </row>
    <row r="76" spans="10:23" ht="14.4" x14ac:dyDescent="0.55000000000000004">
      <c r="J76"/>
      <c r="K76"/>
      <c r="L76"/>
    </row>
    <row r="83" spans="10:23" ht="14.4" x14ac:dyDescent="0.55000000000000004">
      <c r="J83" s="41" t="s">
        <v>265</v>
      </c>
      <c r="K83" s="41" t="s">
        <v>267</v>
      </c>
      <c r="L83"/>
      <c r="M83"/>
      <c r="N83"/>
      <c r="O83"/>
      <c r="P83"/>
      <c r="Q83"/>
      <c r="R83"/>
      <c r="S83"/>
      <c r="T83"/>
      <c r="U83"/>
      <c r="V83"/>
      <c r="W83"/>
    </row>
    <row r="84" spans="10:23" ht="14.4" x14ac:dyDescent="0.55000000000000004">
      <c r="J84" s="41" t="s">
        <v>261</v>
      </c>
      <c r="K84" t="s">
        <v>70</v>
      </c>
      <c r="L84" t="s">
        <v>66</v>
      </c>
      <c r="M84" t="s">
        <v>68</v>
      </c>
      <c r="N84" t="s">
        <v>72</v>
      </c>
      <c r="O84" t="s">
        <v>5</v>
      </c>
      <c r="P84" t="s">
        <v>6</v>
      </c>
      <c r="Q84" t="s">
        <v>67</v>
      </c>
      <c r="R84" t="s">
        <v>7</v>
      </c>
      <c r="S84" t="s">
        <v>69</v>
      </c>
      <c r="T84" t="s">
        <v>8</v>
      </c>
      <c r="U84" t="s">
        <v>9</v>
      </c>
      <c r="V84" t="s">
        <v>71</v>
      </c>
      <c r="W84" t="s">
        <v>262</v>
      </c>
    </row>
    <row r="85" spans="10:23" ht="14.4" x14ac:dyDescent="0.55000000000000004">
      <c r="J85" s="42">
        <v>2010</v>
      </c>
      <c r="K85"/>
      <c r="L85"/>
      <c r="M85"/>
      <c r="N85"/>
      <c r="O85">
        <v>0.02</v>
      </c>
      <c r="P85">
        <v>0.05</v>
      </c>
      <c r="Q85"/>
      <c r="R85">
        <v>0.13</v>
      </c>
      <c r="S85"/>
      <c r="T85">
        <v>0.18</v>
      </c>
      <c r="U85">
        <v>0.11</v>
      </c>
      <c r="V85"/>
      <c r="W85">
        <v>9.8000000000000004E-2</v>
      </c>
    </row>
    <row r="86" spans="10:23" ht="14.4" x14ac:dyDescent="0.55000000000000004">
      <c r="J86" s="42">
        <v>2011</v>
      </c>
      <c r="K86"/>
      <c r="L86"/>
      <c r="M86"/>
      <c r="N86"/>
      <c r="O86">
        <v>0.04</v>
      </c>
      <c r="P86">
        <v>7.0000000000000007E-2</v>
      </c>
      <c r="Q86"/>
      <c r="R86">
        <v>0.13</v>
      </c>
      <c r="S86"/>
      <c r="T86">
        <v>0.17099999999999999</v>
      </c>
      <c r="U86">
        <v>0.09</v>
      </c>
      <c r="V86"/>
      <c r="W86">
        <v>0.1002</v>
      </c>
    </row>
    <row r="87" spans="10:23" ht="14.4" x14ac:dyDescent="0.55000000000000004">
      <c r="J87" s="42">
        <v>2012</v>
      </c>
      <c r="K87"/>
      <c r="L87"/>
      <c r="M87"/>
      <c r="N87"/>
      <c r="O87">
        <v>7.0000000000000007E-2</v>
      </c>
      <c r="P87"/>
      <c r="Q87">
        <v>0.04</v>
      </c>
      <c r="R87">
        <v>0.13</v>
      </c>
      <c r="S87"/>
      <c r="T87">
        <v>0.16244999999999998</v>
      </c>
      <c r="U87"/>
      <c r="V87">
        <v>0.12</v>
      </c>
      <c r="W87">
        <v>0.10449</v>
      </c>
    </row>
    <row r="88" spans="10:23" ht="14.4" x14ac:dyDescent="0.55000000000000004">
      <c r="J88" s="42">
        <v>2013</v>
      </c>
      <c r="K88"/>
      <c r="L88"/>
      <c r="M88"/>
      <c r="N88"/>
      <c r="O88">
        <v>0.13</v>
      </c>
      <c r="P88">
        <v>0.06</v>
      </c>
      <c r="Q88"/>
      <c r="R88">
        <v>0.14000000000000001</v>
      </c>
      <c r="S88"/>
      <c r="T88">
        <v>0.15432749999999998</v>
      </c>
      <c r="U88">
        <v>0.1</v>
      </c>
      <c r="V88"/>
      <c r="W88">
        <v>0.1168655</v>
      </c>
    </row>
    <row r="89" spans="10:23" ht="14.4" x14ac:dyDescent="0.55000000000000004">
      <c r="J89" s="42">
        <v>2014</v>
      </c>
      <c r="K89">
        <v>0.14043802499999997</v>
      </c>
      <c r="L89">
        <v>16</v>
      </c>
      <c r="M89"/>
      <c r="N89"/>
      <c r="O89"/>
      <c r="P89">
        <v>0.06</v>
      </c>
      <c r="Q89"/>
      <c r="R89">
        <v>0.12</v>
      </c>
      <c r="S89"/>
      <c r="T89"/>
      <c r="U89">
        <v>7</v>
      </c>
      <c r="V89"/>
      <c r="W89">
        <v>4.6640876050000006</v>
      </c>
    </row>
    <row r="90" spans="10:23" ht="14.4" x14ac:dyDescent="0.55000000000000004">
      <c r="J90" s="42">
        <v>2015</v>
      </c>
      <c r="K90"/>
      <c r="L90"/>
      <c r="M90">
        <v>0.04</v>
      </c>
      <c r="N90"/>
      <c r="O90">
        <v>0.18</v>
      </c>
      <c r="P90"/>
      <c r="Q90"/>
      <c r="R90"/>
      <c r="S90">
        <v>0.14000000000000001</v>
      </c>
      <c r="T90">
        <v>0.12920298299999997</v>
      </c>
      <c r="U90">
        <v>0.1045</v>
      </c>
      <c r="V90"/>
      <c r="W90">
        <v>0.1187405966</v>
      </c>
    </row>
    <row r="91" spans="10:23" ht="14.4" x14ac:dyDescent="0.55000000000000004">
      <c r="J91" s="42">
        <v>2016</v>
      </c>
      <c r="K91"/>
      <c r="L91"/>
      <c r="M91"/>
      <c r="N91">
        <v>0.1138</v>
      </c>
      <c r="O91">
        <v>0.19</v>
      </c>
      <c r="P91">
        <v>0.05</v>
      </c>
      <c r="Q91"/>
      <c r="R91">
        <v>0.13</v>
      </c>
      <c r="S91"/>
      <c r="T91">
        <v>0.11499065486999997</v>
      </c>
      <c r="U91"/>
      <c r="V91"/>
      <c r="W91">
        <v>0.11975813097399998</v>
      </c>
    </row>
    <row r="92" spans="10:23" ht="14.4" x14ac:dyDescent="0.55000000000000004">
      <c r="J92" s="42">
        <v>2017</v>
      </c>
      <c r="K92"/>
      <c r="L92"/>
      <c r="M92"/>
      <c r="N92"/>
      <c r="O92">
        <v>0.17</v>
      </c>
      <c r="P92">
        <v>0.05</v>
      </c>
      <c r="Q92"/>
      <c r="R92">
        <v>10</v>
      </c>
      <c r="S92"/>
      <c r="T92">
        <v>0.10349158938299997</v>
      </c>
      <c r="U92">
        <v>9.7600000000000006E-2</v>
      </c>
      <c r="V92"/>
      <c r="W92">
        <v>2.0842183178766001</v>
      </c>
    </row>
    <row r="93" spans="10:23" ht="14.4" x14ac:dyDescent="0.55000000000000004">
      <c r="J93" s="42">
        <v>2018</v>
      </c>
      <c r="K93"/>
      <c r="L93"/>
      <c r="M93"/>
      <c r="N93"/>
      <c r="O93">
        <v>0.2</v>
      </c>
      <c r="P93">
        <v>0.06</v>
      </c>
      <c r="Q93"/>
      <c r="R93">
        <v>0.14000000000000001</v>
      </c>
      <c r="S93"/>
      <c r="T93">
        <v>9.2107514550869976E-2</v>
      </c>
      <c r="U93">
        <v>0.14000000000000001</v>
      </c>
      <c r="V93"/>
      <c r="W93">
        <v>0.12642150291017401</v>
      </c>
    </row>
    <row r="94" spans="10:23" ht="14.4" x14ac:dyDescent="0.55000000000000004">
      <c r="J94" s="42">
        <v>2019</v>
      </c>
      <c r="K94"/>
      <c r="L94"/>
      <c r="M94"/>
      <c r="N94"/>
      <c r="O94">
        <v>0.19</v>
      </c>
      <c r="P94">
        <v>0.04</v>
      </c>
      <c r="Q94"/>
      <c r="R94">
        <v>0.13</v>
      </c>
      <c r="S94"/>
      <c r="T94">
        <v>8.1975687950274281E-2</v>
      </c>
      <c r="U94">
        <v>0.1089</v>
      </c>
      <c r="V94"/>
      <c r="W94">
        <v>0.11017513759005486</v>
      </c>
    </row>
    <row r="95" spans="10:23" ht="14.4" x14ac:dyDescent="0.55000000000000004">
      <c r="J95" s="42" t="s">
        <v>262</v>
      </c>
      <c r="K95">
        <v>0.14043802499999997</v>
      </c>
      <c r="L95">
        <v>16</v>
      </c>
      <c r="M95">
        <v>0.04</v>
      </c>
      <c r="N95">
        <v>0.1138</v>
      </c>
      <c r="O95">
        <v>0.13222222222222221</v>
      </c>
      <c r="P95">
        <v>5.4999999999999993E-2</v>
      </c>
      <c r="Q95">
        <v>0.04</v>
      </c>
      <c r="R95">
        <v>1.2277777777777779</v>
      </c>
      <c r="S95">
        <v>0.14000000000000001</v>
      </c>
      <c r="T95">
        <v>0.13217176997268268</v>
      </c>
      <c r="U95">
        <v>0.96887499999999993</v>
      </c>
      <c r="V95">
        <v>0.12</v>
      </c>
      <c r="W95">
        <v>0.76429567909508289</v>
      </c>
    </row>
    <row r="96" spans="10:23" ht="14.4" x14ac:dyDescent="0.55000000000000004">
      <c r="J96"/>
      <c r="K96"/>
      <c r="L96"/>
      <c r="M96"/>
      <c r="N96"/>
      <c r="O96"/>
      <c r="P96"/>
      <c r="Q96"/>
      <c r="R96"/>
      <c r="S96"/>
      <c r="T96"/>
      <c r="U96"/>
      <c r="V96"/>
      <c r="W96"/>
    </row>
    <row r="97" spans="1:12" ht="14.4" x14ac:dyDescent="0.55000000000000004">
      <c r="J97"/>
      <c r="K97"/>
      <c r="L97"/>
    </row>
    <row r="98" spans="1:12" ht="14.4" x14ac:dyDescent="0.55000000000000004">
      <c r="A98" s="2" t="s">
        <v>0</v>
      </c>
      <c r="B98" s="2" t="s">
        <v>1</v>
      </c>
      <c r="C98" s="2" t="s">
        <v>268</v>
      </c>
      <c r="D98" s="2" t="s">
        <v>269</v>
      </c>
      <c r="E98" s="2" t="s">
        <v>270</v>
      </c>
      <c r="F98" s="2" t="s">
        <v>271</v>
      </c>
      <c r="J98"/>
      <c r="K98"/>
      <c r="L98"/>
    </row>
    <row r="99" spans="1:12" ht="14.4" x14ac:dyDescent="0.55000000000000004">
      <c r="A99" s="2">
        <v>2010</v>
      </c>
      <c r="B99" s="2" t="s">
        <v>5</v>
      </c>
      <c r="C99" s="2">
        <v>12450</v>
      </c>
      <c r="D99" s="2">
        <v>-23587</v>
      </c>
      <c r="E99" s="2">
        <v>0.02</v>
      </c>
      <c r="F99" s="2">
        <f>D99/C99</f>
        <v>-1.8945381526104417</v>
      </c>
      <c r="J99"/>
      <c r="K99"/>
      <c r="L99"/>
    </row>
    <row r="100" spans="1:12" ht="14.4" x14ac:dyDescent="0.55000000000000004">
      <c r="A100" s="2">
        <v>2010</v>
      </c>
      <c r="B100" s="2" t="s">
        <v>6</v>
      </c>
      <c r="C100" s="2">
        <v>235888</v>
      </c>
      <c r="D100" s="2">
        <v>63823</v>
      </c>
      <c r="E100" s="2">
        <v>0.05</v>
      </c>
      <c r="F100" s="2">
        <f t="shared" ref="F100:F149" si="0">D100/C100</f>
        <v>0.27056484433290373</v>
      </c>
      <c r="J100"/>
      <c r="K100"/>
      <c r="L100"/>
    </row>
    <row r="101" spans="1:12" x14ac:dyDescent="0.4">
      <c r="A101" s="2">
        <v>2010</v>
      </c>
      <c r="B101" s="2" t="s">
        <v>7</v>
      </c>
      <c r="C101" s="2">
        <v>145318</v>
      </c>
      <c r="D101" s="2">
        <v>-30324</v>
      </c>
      <c r="E101" s="2">
        <v>0.13</v>
      </c>
      <c r="F101" s="2">
        <f t="shared" si="0"/>
        <v>-0.20867339214687788</v>
      </c>
    </row>
    <row r="102" spans="1:12" x14ac:dyDescent="0.4">
      <c r="A102" s="2">
        <v>2010</v>
      </c>
      <c r="B102" s="2" t="s">
        <v>8</v>
      </c>
      <c r="C102" s="2">
        <v>438170</v>
      </c>
      <c r="D102" s="2">
        <v>52580.4</v>
      </c>
      <c r="E102" s="2">
        <v>0.18</v>
      </c>
      <c r="F102" s="2">
        <f t="shared" si="0"/>
        <v>0.12000000000000001</v>
      </c>
    </row>
    <row r="103" spans="1:12" x14ac:dyDescent="0.4">
      <c r="A103" s="2">
        <v>2010</v>
      </c>
      <c r="B103" s="2" t="s">
        <v>9</v>
      </c>
      <c r="C103" s="2">
        <v>132408</v>
      </c>
      <c r="D103" s="2">
        <v>26481.600000000002</v>
      </c>
      <c r="E103" s="2">
        <v>0.11</v>
      </c>
      <c r="F103" s="2">
        <f t="shared" si="0"/>
        <v>0.2</v>
      </c>
    </row>
    <row r="104" spans="1:12" x14ac:dyDescent="0.4">
      <c r="A104" s="2">
        <v>2011</v>
      </c>
      <c r="B104" s="2" t="s">
        <v>5</v>
      </c>
      <c r="C104" s="2">
        <v>24900</v>
      </c>
      <c r="D104" s="2">
        <v>-10341</v>
      </c>
      <c r="E104" s="2">
        <v>0.04</v>
      </c>
      <c r="F104" s="2">
        <f t="shared" si="0"/>
        <v>-0.41530120481927713</v>
      </c>
    </row>
    <row r="105" spans="1:12" x14ac:dyDescent="0.4">
      <c r="A105" s="2">
        <v>2011</v>
      </c>
      <c r="B105" s="2" t="s">
        <v>6</v>
      </c>
      <c r="C105" s="2">
        <v>203024</v>
      </c>
      <c r="D105" s="2">
        <v>60289</v>
      </c>
      <c r="E105" s="2">
        <v>7.0000000000000007E-2</v>
      </c>
      <c r="F105" s="2">
        <f t="shared" si="0"/>
        <v>0.29695503979825044</v>
      </c>
    </row>
    <row r="106" spans="1:12" x14ac:dyDescent="0.4">
      <c r="A106" s="2">
        <v>2011</v>
      </c>
      <c r="B106" s="2" t="s">
        <v>7</v>
      </c>
      <c r="C106" s="2">
        <v>98046</v>
      </c>
      <c r="D106" s="2">
        <v>-28634</v>
      </c>
      <c r="E106" s="2">
        <v>0.13</v>
      </c>
      <c r="F106" s="2">
        <f t="shared" si="0"/>
        <v>-0.29204659037594599</v>
      </c>
    </row>
    <row r="107" spans="1:12" x14ac:dyDescent="0.4">
      <c r="A107" s="2">
        <v>2011</v>
      </c>
      <c r="B107" s="2" t="s">
        <v>8</v>
      </c>
      <c r="C107" s="2">
        <v>411879.8</v>
      </c>
      <c r="D107" s="2">
        <v>49425.576000000001</v>
      </c>
      <c r="E107" s="2">
        <v>0.17099999999999999</v>
      </c>
      <c r="F107" s="2">
        <f t="shared" si="0"/>
        <v>0.12000000000000001</v>
      </c>
    </row>
    <row r="108" spans="1:12" x14ac:dyDescent="0.4">
      <c r="A108" s="2">
        <v>2011</v>
      </c>
      <c r="B108" s="2" t="s">
        <v>9</v>
      </c>
      <c r="C108" s="2">
        <v>125473</v>
      </c>
      <c r="D108" s="2">
        <v>31368.25</v>
      </c>
      <c r="E108" s="2">
        <v>0.09</v>
      </c>
      <c r="F108" s="2">
        <f t="shared" si="0"/>
        <v>0.25</v>
      </c>
    </row>
    <row r="109" spans="1:12" x14ac:dyDescent="0.4">
      <c r="A109" s="2">
        <v>2012</v>
      </c>
      <c r="B109" s="2" t="s">
        <v>5</v>
      </c>
      <c r="C109" s="2">
        <v>49800</v>
      </c>
      <c r="D109" s="2">
        <v>-1943</v>
      </c>
      <c r="E109" s="2">
        <v>7.0000000000000007E-2</v>
      </c>
      <c r="F109" s="2">
        <f t="shared" si="0"/>
        <v>-3.901606425702811E-2</v>
      </c>
    </row>
    <row r="110" spans="1:12" x14ac:dyDescent="0.4">
      <c r="A110" s="2">
        <v>2012</v>
      </c>
      <c r="B110" s="2" t="s">
        <v>67</v>
      </c>
      <c r="C110" s="2">
        <v>226570</v>
      </c>
      <c r="D110" s="2">
        <v>61902</v>
      </c>
      <c r="E110" s="2">
        <v>0.04</v>
      </c>
      <c r="F110" s="2">
        <f t="shared" si="0"/>
        <v>0.27321357637816129</v>
      </c>
    </row>
    <row r="111" spans="1:12" x14ac:dyDescent="0.4">
      <c r="A111" s="2">
        <v>2012</v>
      </c>
      <c r="B111" s="2" t="s">
        <v>7</v>
      </c>
      <c r="C111" s="2">
        <v>120729</v>
      </c>
      <c r="D111" s="2">
        <v>-21015</v>
      </c>
      <c r="E111" s="2">
        <v>0.13</v>
      </c>
      <c r="F111" s="2">
        <f t="shared" si="0"/>
        <v>-0.1740675396963447</v>
      </c>
    </row>
    <row r="112" spans="1:12" x14ac:dyDescent="0.4">
      <c r="A112" s="2">
        <v>2012</v>
      </c>
      <c r="B112" s="2" t="s">
        <v>8</v>
      </c>
      <c r="C112" s="2">
        <v>387167.01199999999</v>
      </c>
      <c r="D112" s="2">
        <v>46460.041440000001</v>
      </c>
      <c r="E112" s="2">
        <v>0.16244999999999998</v>
      </c>
      <c r="F112" s="2">
        <f t="shared" si="0"/>
        <v>0.12000000000000001</v>
      </c>
    </row>
    <row r="113" spans="1:12" x14ac:dyDescent="0.4">
      <c r="A113" s="2">
        <v>2012</v>
      </c>
      <c r="B113" s="2" t="s">
        <v>71</v>
      </c>
      <c r="C113" s="2">
        <v>134296</v>
      </c>
      <c r="D113" s="2">
        <v>44765.333333333328</v>
      </c>
      <c r="E113" s="2">
        <v>0.12</v>
      </c>
      <c r="F113" s="2">
        <f t="shared" si="0"/>
        <v>0.33333333333333331</v>
      </c>
    </row>
    <row r="114" spans="1:12" x14ac:dyDescent="0.4">
      <c r="A114" s="2">
        <v>2013</v>
      </c>
      <c r="B114" s="2" t="s">
        <v>5</v>
      </c>
      <c r="C114" s="2">
        <v>99600</v>
      </c>
      <c r="D114" s="2">
        <v>11632</v>
      </c>
      <c r="E114" s="2">
        <v>0.13</v>
      </c>
      <c r="F114" s="2">
        <f t="shared" si="0"/>
        <v>0.11678714859437751</v>
      </c>
    </row>
    <row r="115" spans="1:12" x14ac:dyDescent="0.4">
      <c r="A115" s="2">
        <v>2013</v>
      </c>
      <c r="B115" s="2" t="s">
        <v>6</v>
      </c>
      <c r="C115" s="2">
        <v>246739</v>
      </c>
      <c r="D115" s="2">
        <v>62340</v>
      </c>
      <c r="E115" s="2">
        <v>0.06</v>
      </c>
      <c r="F115" s="2">
        <f t="shared" si="0"/>
        <v>0.25265564017038245</v>
      </c>
    </row>
    <row r="116" spans="1:12" x14ac:dyDescent="0.4">
      <c r="A116" s="2">
        <v>2013</v>
      </c>
      <c r="B116" s="2" t="s">
        <v>7</v>
      </c>
      <c r="C116" s="2">
        <v>159714</v>
      </c>
      <c r="D116" s="2">
        <v>8025</v>
      </c>
      <c r="E116" s="2">
        <v>0.14000000000000001</v>
      </c>
      <c r="F116" s="2">
        <f t="shared" si="0"/>
        <v>5.0246064840903111E-2</v>
      </c>
    </row>
    <row r="117" spans="1:12" ht="14.4" x14ac:dyDescent="0.55000000000000004">
      <c r="A117" s="2">
        <v>2013</v>
      </c>
      <c r="B117" s="2" t="s">
        <v>8</v>
      </c>
      <c r="C117" s="2">
        <v>352321.98092</v>
      </c>
      <c r="D117" s="2">
        <v>42278.637710399998</v>
      </c>
      <c r="E117" s="2">
        <v>0.15432749999999998</v>
      </c>
      <c r="F117" s="2">
        <f t="shared" si="0"/>
        <v>0.12</v>
      </c>
      <c r="J117" s="41" t="s">
        <v>261</v>
      </c>
      <c r="K117" t="s">
        <v>272</v>
      </c>
      <c r="L117"/>
    </row>
    <row r="118" spans="1:12" ht="14.4" x14ac:dyDescent="0.55000000000000004">
      <c r="A118" s="2">
        <v>2013</v>
      </c>
      <c r="B118" s="2" t="s">
        <v>9</v>
      </c>
      <c r="C118" s="2">
        <v>128478</v>
      </c>
      <c r="D118" s="2">
        <v>25695.600000000002</v>
      </c>
      <c r="E118" s="2">
        <v>0.1</v>
      </c>
      <c r="F118" s="2">
        <f t="shared" si="0"/>
        <v>0.2</v>
      </c>
      <c r="J118" s="42" t="s">
        <v>70</v>
      </c>
      <c r="K118">
        <v>0.12260869565217392</v>
      </c>
      <c r="L118"/>
    </row>
    <row r="119" spans="1:12" ht="14.4" x14ac:dyDescent="0.55000000000000004">
      <c r="A119" s="2">
        <v>2014</v>
      </c>
      <c r="B119" s="2" t="s">
        <v>66</v>
      </c>
      <c r="C119" s="2">
        <v>199200</v>
      </c>
      <c r="D119" s="2">
        <v>20576</v>
      </c>
      <c r="E119" s="2">
        <v>16</v>
      </c>
      <c r="F119" s="2">
        <f t="shared" si="0"/>
        <v>0.10329317269076305</v>
      </c>
      <c r="J119" s="42" t="s">
        <v>66</v>
      </c>
      <c r="K119">
        <v>0.10329317269076305</v>
      </c>
      <c r="L119"/>
    </row>
    <row r="120" spans="1:12" ht="14.4" x14ac:dyDescent="0.55000000000000004">
      <c r="A120" s="2">
        <v>2014</v>
      </c>
      <c r="B120" s="2" t="s">
        <v>6</v>
      </c>
      <c r="C120" s="2">
        <v>224898</v>
      </c>
      <c r="D120" s="2">
        <v>59786</v>
      </c>
      <c r="E120" s="2">
        <v>0.06</v>
      </c>
      <c r="F120" s="2">
        <f t="shared" si="0"/>
        <v>0.26583606790633979</v>
      </c>
      <c r="J120" s="42" t="s">
        <v>68</v>
      </c>
      <c r="K120">
        <v>0.24678474549226104</v>
      </c>
      <c r="L120"/>
    </row>
    <row r="121" spans="1:12" ht="14.4" x14ac:dyDescent="0.55000000000000004">
      <c r="A121" s="2">
        <v>2014</v>
      </c>
      <c r="B121" s="2" t="s">
        <v>7</v>
      </c>
      <c r="C121" s="2">
        <v>153627</v>
      </c>
      <c r="D121" s="2">
        <v>-1171</v>
      </c>
      <c r="E121" s="2">
        <v>0.12</v>
      </c>
      <c r="F121" s="2">
        <f t="shared" si="0"/>
        <v>-7.6223580490408591E-3</v>
      </c>
      <c r="J121" s="42" t="s">
        <v>72</v>
      </c>
      <c r="K121">
        <v>0.25</v>
      </c>
      <c r="L121"/>
    </row>
    <row r="122" spans="1:12" ht="14.4" x14ac:dyDescent="0.55000000000000004">
      <c r="A122" s="2">
        <v>2014</v>
      </c>
      <c r="B122" s="2" t="s">
        <v>70</v>
      </c>
      <c r="C122" s="2">
        <v>324136.22244639997</v>
      </c>
      <c r="D122" s="2">
        <v>39741.919447775996</v>
      </c>
      <c r="E122" s="2">
        <v>0.14043802499999997</v>
      </c>
      <c r="F122" s="2">
        <f t="shared" si="0"/>
        <v>0.12260869565217392</v>
      </c>
      <c r="J122" s="42" t="s">
        <v>5</v>
      </c>
      <c r="K122">
        <v>-0.15337596618786214</v>
      </c>
      <c r="L122"/>
    </row>
    <row r="123" spans="1:12" ht="14.4" x14ac:dyDescent="0.55000000000000004">
      <c r="A123" s="2">
        <v>2014</v>
      </c>
      <c r="B123" s="2" t="s">
        <v>9</v>
      </c>
      <c r="C123" s="2">
        <v>123742</v>
      </c>
      <c r="D123" s="2">
        <v>30935.5</v>
      </c>
      <c r="E123" s="2">
        <v>7</v>
      </c>
      <c r="F123" s="2">
        <f t="shared" si="0"/>
        <v>0.25</v>
      </c>
      <c r="J123" s="42" t="s">
        <v>6</v>
      </c>
      <c r="K123">
        <v>0.27411060564411516</v>
      </c>
      <c r="L123"/>
    </row>
    <row r="124" spans="1:12" ht="14.4" x14ac:dyDescent="0.55000000000000004">
      <c r="A124" s="2">
        <v>2015</v>
      </c>
      <c r="B124" s="2" t="s">
        <v>5</v>
      </c>
      <c r="C124" s="2">
        <v>398400</v>
      </c>
      <c r="D124" s="2">
        <v>43734</v>
      </c>
      <c r="E124" s="2">
        <v>0.18</v>
      </c>
      <c r="F124" s="2">
        <f t="shared" si="0"/>
        <v>0.10977409638554217</v>
      </c>
      <c r="J124" s="42" t="s">
        <v>67</v>
      </c>
      <c r="K124">
        <v>0.27321357637816129</v>
      </c>
      <c r="L124"/>
    </row>
    <row r="125" spans="1:12" ht="14.4" x14ac:dyDescent="0.55000000000000004">
      <c r="A125" s="2">
        <v>2015</v>
      </c>
      <c r="B125" s="2" t="s">
        <v>68</v>
      </c>
      <c r="C125" s="2">
        <v>250680</v>
      </c>
      <c r="D125" s="2">
        <v>61864</v>
      </c>
      <c r="E125" s="2">
        <v>0.04</v>
      </c>
      <c r="F125" s="2">
        <f t="shared" si="0"/>
        <v>0.24678474549226104</v>
      </c>
      <c r="J125" s="42" t="s">
        <v>7</v>
      </c>
      <c r="K125" t="e">
        <v>#DIV/0!</v>
      </c>
      <c r="L125"/>
    </row>
    <row r="126" spans="1:12" ht="14.4" x14ac:dyDescent="0.55000000000000004">
      <c r="A126" s="2">
        <v>2015</v>
      </c>
      <c r="B126" s="2" t="s">
        <v>69</v>
      </c>
      <c r="C126" s="2">
        <v>127689</v>
      </c>
      <c r="D126" s="2">
        <v>6401</v>
      </c>
      <c r="E126" s="2">
        <v>0.14000000000000001</v>
      </c>
      <c r="F126" s="2">
        <f t="shared" si="0"/>
        <v>5.0129611791148804E-2</v>
      </c>
      <c r="J126" s="42" t="s">
        <v>69</v>
      </c>
      <c r="K126">
        <v>5.0129611791148804E-2</v>
      </c>
      <c r="L126"/>
    </row>
    <row r="127" spans="1:12" ht="14.4" x14ac:dyDescent="0.55000000000000004">
      <c r="A127" s="2">
        <v>2015</v>
      </c>
      <c r="B127" s="2" t="s">
        <v>8</v>
      </c>
      <c r="C127" s="2">
        <v>307929.41132407996</v>
      </c>
      <c r="D127" s="2">
        <v>36165.146697476157</v>
      </c>
      <c r="E127" s="2">
        <v>0.12920298299999997</v>
      </c>
      <c r="F127" s="2">
        <f t="shared" si="0"/>
        <v>0.11744622425629291</v>
      </c>
      <c r="J127" s="42" t="s">
        <v>8</v>
      </c>
      <c r="K127">
        <v>0.12108849673986846</v>
      </c>
      <c r="L127"/>
    </row>
    <row r="128" spans="1:12" ht="14.4" x14ac:dyDescent="0.55000000000000004">
      <c r="A128" s="2">
        <v>2015</v>
      </c>
      <c r="B128" s="2" t="s">
        <v>9</v>
      </c>
      <c r="C128" s="2">
        <v>129465</v>
      </c>
      <c r="D128" s="2">
        <v>43155</v>
      </c>
      <c r="E128" s="2">
        <v>0.1045</v>
      </c>
      <c r="F128" s="2">
        <f t="shared" si="0"/>
        <v>0.33333333333333331</v>
      </c>
      <c r="J128" s="42" t="s">
        <v>9</v>
      </c>
      <c r="K128">
        <v>0.25833333333333336</v>
      </c>
      <c r="L128"/>
    </row>
    <row r="129" spans="1:12" ht="14.4" x14ac:dyDescent="0.55000000000000004">
      <c r="A129" s="2">
        <v>2016</v>
      </c>
      <c r="B129" s="2" t="s">
        <v>5</v>
      </c>
      <c r="C129" s="2">
        <v>426732</v>
      </c>
      <c r="D129" s="2">
        <v>60182</v>
      </c>
      <c r="E129" s="2">
        <v>0.19</v>
      </c>
      <c r="F129" s="2">
        <f t="shared" si="0"/>
        <v>0.1410299672862593</v>
      </c>
      <c r="J129" s="42" t="s">
        <v>71</v>
      </c>
      <c r="K129">
        <v>0.33333333333333331</v>
      </c>
      <c r="L129"/>
    </row>
    <row r="130" spans="1:12" ht="14.4" x14ac:dyDescent="0.55000000000000004">
      <c r="A130" s="2">
        <v>2016</v>
      </c>
      <c r="B130" s="2" t="s">
        <v>6</v>
      </c>
      <c r="C130" s="2">
        <v>209309</v>
      </c>
      <c r="D130" s="2">
        <v>58234</v>
      </c>
      <c r="E130" s="2">
        <v>0.05</v>
      </c>
      <c r="F130" s="2">
        <f t="shared" si="0"/>
        <v>0.27822023897682374</v>
      </c>
      <c r="J130" s="42" t="s">
        <v>262</v>
      </c>
      <c r="K130" t="e">
        <v>#DIV/0!</v>
      </c>
      <c r="L130"/>
    </row>
    <row r="131" spans="1:12" ht="14.4" x14ac:dyDescent="0.55000000000000004">
      <c r="A131" s="2">
        <v>2016</v>
      </c>
      <c r="B131" s="2" t="s">
        <v>7</v>
      </c>
      <c r="C131" s="2">
        <v>103829</v>
      </c>
      <c r="D131" s="2">
        <v>-14651</v>
      </c>
      <c r="E131" s="2">
        <v>0.13</v>
      </c>
      <c r="F131" s="2">
        <f t="shared" si="0"/>
        <v>-0.14110701249169308</v>
      </c>
      <c r="J131"/>
      <c r="K131"/>
      <c r="L131"/>
    </row>
    <row r="132" spans="1:12" ht="14.4" x14ac:dyDescent="0.55000000000000004">
      <c r="A132" s="2">
        <v>2016</v>
      </c>
      <c r="B132" s="2" t="s">
        <v>8</v>
      </c>
      <c r="C132" s="2">
        <v>274057.17607843119</v>
      </c>
      <c r="D132" s="2">
        <v>33271.934961678067</v>
      </c>
      <c r="E132" s="2">
        <v>0.11499065486999997</v>
      </c>
      <c r="F132" s="2">
        <f t="shared" si="0"/>
        <v>0.12140508574807807</v>
      </c>
      <c r="J132"/>
      <c r="K132"/>
      <c r="L132"/>
    </row>
    <row r="133" spans="1:12" ht="14.4" x14ac:dyDescent="0.55000000000000004">
      <c r="A133" s="2">
        <v>2016</v>
      </c>
      <c r="B133" s="2" t="s">
        <v>72</v>
      </c>
      <c r="C133" s="2">
        <v>130720</v>
      </c>
      <c r="D133" s="2">
        <v>32680</v>
      </c>
      <c r="E133" s="2">
        <v>0.1138</v>
      </c>
      <c r="F133" s="2">
        <f t="shared" si="0"/>
        <v>0.25</v>
      </c>
      <c r="J133"/>
      <c r="K133"/>
      <c r="L133"/>
    </row>
    <row r="134" spans="1:12" ht="14.4" x14ac:dyDescent="0.55000000000000004">
      <c r="A134" s="2">
        <v>2017</v>
      </c>
      <c r="B134" s="2" t="s">
        <v>5</v>
      </c>
      <c r="C134" s="2">
        <v>452782</v>
      </c>
      <c r="D134" s="2">
        <v>83812</v>
      </c>
      <c r="E134" s="2">
        <v>0.17</v>
      </c>
      <c r="F134" s="2">
        <f t="shared" si="0"/>
        <v>0.18510453154056478</v>
      </c>
      <c r="J134"/>
      <c r="K134"/>
      <c r="L134"/>
    </row>
    <row r="135" spans="1:12" x14ac:dyDescent="0.4">
      <c r="A135" s="2">
        <v>2017</v>
      </c>
      <c r="B135" s="2" t="s">
        <v>6</v>
      </c>
      <c r="C135" s="2">
        <v>235713</v>
      </c>
      <c r="D135" s="2">
        <v>62890</v>
      </c>
      <c r="E135" s="2">
        <v>0.05</v>
      </c>
      <c r="F135" s="2">
        <f t="shared" si="0"/>
        <v>0.2668075159197838</v>
      </c>
    </row>
    <row r="136" spans="1:12" x14ac:dyDescent="0.4">
      <c r="A136" s="2">
        <v>2017</v>
      </c>
      <c r="B136" s="2" t="s">
        <v>7</v>
      </c>
      <c r="C136" s="2">
        <v>163953</v>
      </c>
      <c r="D136" s="2">
        <v>5007</v>
      </c>
      <c r="E136" s="2">
        <v>10</v>
      </c>
      <c r="F136" s="2">
        <f t="shared" si="0"/>
        <v>3.0539239904118862E-2</v>
      </c>
    </row>
    <row r="137" spans="1:12" x14ac:dyDescent="0.4">
      <c r="B137" s="2" t="s">
        <v>7</v>
      </c>
      <c r="E137" s="2">
        <v>0.13</v>
      </c>
      <c r="F137" s="2" t="e">
        <f t="shared" si="0"/>
        <v>#DIV/0!</v>
      </c>
    </row>
    <row r="138" spans="1:12" x14ac:dyDescent="0.4">
      <c r="A138" s="2">
        <v>2017</v>
      </c>
      <c r="B138" s="2" t="s">
        <v>8</v>
      </c>
      <c r="C138" s="2">
        <v>249392.0302313724</v>
      </c>
      <c r="D138" s="2">
        <v>30610.180164743822</v>
      </c>
      <c r="E138" s="2">
        <v>0.10349158938299997</v>
      </c>
      <c r="F138" s="2">
        <f t="shared" si="0"/>
        <v>0.12273920756948552</v>
      </c>
    </row>
    <row r="139" spans="1:12" x14ac:dyDescent="0.4">
      <c r="A139" s="2">
        <v>2017</v>
      </c>
      <c r="B139" s="2" t="s">
        <v>9</v>
      </c>
      <c r="C139" s="2">
        <v>127120</v>
      </c>
      <c r="D139" s="2">
        <v>31780</v>
      </c>
      <c r="E139" s="2">
        <v>9.7600000000000006E-2</v>
      </c>
      <c r="F139" s="2">
        <f t="shared" si="0"/>
        <v>0.25</v>
      </c>
    </row>
    <row r="140" spans="1:12" x14ac:dyDescent="0.4">
      <c r="A140" s="2">
        <v>2018</v>
      </c>
      <c r="B140" s="2" t="s">
        <v>5</v>
      </c>
      <c r="C140" s="2">
        <v>478123</v>
      </c>
      <c r="D140" s="2">
        <v>93672</v>
      </c>
      <c r="E140" s="2">
        <v>0.2</v>
      </c>
      <c r="F140" s="2">
        <f t="shared" si="0"/>
        <v>0.1959161136360309</v>
      </c>
    </row>
    <row r="141" spans="1:12" x14ac:dyDescent="0.4">
      <c r="A141" s="2">
        <v>2018</v>
      </c>
      <c r="B141" s="2" t="s">
        <v>6</v>
      </c>
      <c r="C141" s="2">
        <v>232016</v>
      </c>
      <c r="D141" s="2">
        <v>63276</v>
      </c>
      <c r="E141" s="2">
        <v>0.06</v>
      </c>
      <c r="F141" s="2">
        <f t="shared" si="0"/>
        <v>0.27272257085718227</v>
      </c>
    </row>
    <row r="142" spans="1:12" x14ac:dyDescent="0.4">
      <c r="A142" s="2">
        <v>2018</v>
      </c>
      <c r="B142" s="2" t="s">
        <v>7</v>
      </c>
      <c r="C142" s="2">
        <v>131279</v>
      </c>
      <c r="D142" s="2">
        <v>10446</v>
      </c>
      <c r="E142" s="2">
        <v>0.14000000000000001</v>
      </c>
      <c r="F142" s="2">
        <f t="shared" si="0"/>
        <v>7.9570990028869817E-2</v>
      </c>
    </row>
    <row r="143" spans="1:12" x14ac:dyDescent="0.4">
      <c r="A143" s="2">
        <v>2018</v>
      </c>
      <c r="B143" s="2" t="s">
        <v>8</v>
      </c>
      <c r="C143" s="2">
        <v>221958.90690592144</v>
      </c>
      <c r="D143" s="2">
        <v>27243.060346622002</v>
      </c>
      <c r="E143" s="2">
        <v>9.2107514550869976E-2</v>
      </c>
      <c r="F143" s="2">
        <f t="shared" si="0"/>
        <v>0.1227392075694855</v>
      </c>
    </row>
    <row r="144" spans="1:12" x14ac:dyDescent="0.4">
      <c r="A144" s="2">
        <v>2018</v>
      </c>
      <c r="B144" s="2" t="s">
        <v>9</v>
      </c>
      <c r="C144" s="2">
        <v>138274</v>
      </c>
      <c r="D144" s="2">
        <v>34568.5</v>
      </c>
      <c r="E144" s="2">
        <v>0.14000000000000001</v>
      </c>
      <c r="F144" s="2">
        <f t="shared" si="0"/>
        <v>0.25</v>
      </c>
    </row>
    <row r="145" spans="1:6" x14ac:dyDescent="0.4">
      <c r="A145" s="2">
        <v>2019</v>
      </c>
      <c r="B145" s="2" t="s">
        <v>5</v>
      </c>
      <c r="C145" s="2">
        <v>492823</v>
      </c>
      <c r="D145" s="2">
        <v>108352</v>
      </c>
      <c r="E145" s="2">
        <v>0.19</v>
      </c>
      <c r="F145" s="2">
        <f t="shared" si="0"/>
        <v>0.21985986855321282</v>
      </c>
    </row>
    <row r="146" spans="1:6" x14ac:dyDescent="0.4">
      <c r="A146" s="2">
        <v>2019</v>
      </c>
      <c r="B146" s="2" t="s">
        <v>6</v>
      </c>
      <c r="C146" s="2">
        <v>210222</v>
      </c>
      <c r="D146" s="2">
        <v>60780</v>
      </c>
      <c r="E146" s="2">
        <v>0.04</v>
      </c>
      <c r="F146" s="2">
        <f t="shared" si="0"/>
        <v>0.28912292719125499</v>
      </c>
    </row>
    <row r="147" spans="1:6" x14ac:dyDescent="0.4">
      <c r="A147" s="2">
        <v>2019</v>
      </c>
      <c r="B147" s="2" t="s">
        <v>7</v>
      </c>
      <c r="C147" s="2">
        <v>156634</v>
      </c>
      <c r="D147" s="2">
        <v>-23359</v>
      </c>
      <c r="E147" s="2">
        <v>0.13</v>
      </c>
      <c r="F147" s="2">
        <f t="shared" si="0"/>
        <v>-0.14913109541989605</v>
      </c>
    </row>
    <row r="148" spans="1:6" x14ac:dyDescent="0.4">
      <c r="A148" s="2">
        <v>2019</v>
      </c>
      <c r="B148" s="2" t="s">
        <v>8</v>
      </c>
      <c r="C148" s="2">
        <v>199763.01621532929</v>
      </c>
      <c r="D148" s="2">
        <v>25063.615518892242</v>
      </c>
      <c r="E148" s="2">
        <v>8.1975687950274281E-2</v>
      </c>
      <c r="F148" s="2">
        <f t="shared" si="0"/>
        <v>0.12546674551547407</v>
      </c>
    </row>
    <row r="149" spans="1:6" x14ac:dyDescent="0.4">
      <c r="A149" s="2">
        <v>2019</v>
      </c>
      <c r="B149" s="2" t="s">
        <v>9</v>
      </c>
      <c r="C149" s="2">
        <v>131792</v>
      </c>
      <c r="D149" s="2">
        <v>43930.666666666664</v>
      </c>
      <c r="E149" s="2">
        <v>0.1089</v>
      </c>
      <c r="F149" s="2">
        <f t="shared" si="0"/>
        <v>0.33333333333333331</v>
      </c>
    </row>
  </sheetData>
  <sortState xmlns:xlrd2="http://schemas.microsoft.com/office/spreadsheetml/2017/richdata2" ref="A9:E59">
    <sortCondition ref="A9:A59"/>
  </sortState>
  <pageMargins left="0.7" right="0.7" top="0.75" bottom="0.75" header="0.3" footer="0.3"/>
  <pageSetup orientation="portrait" horizontalDpi="1200" verticalDpi="1200" r:id="rId6"/>
  <drawing r:id="rId7"/>
  <tableParts count="1">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B325E-1416-4E82-BCB2-2A62575971AE}">
  <sheetPr>
    <tabColor rgb="FFFF0000"/>
  </sheetPr>
  <dimension ref="E1:H14"/>
  <sheetViews>
    <sheetView zoomScale="46" zoomScaleNormal="102" workbookViewId="0">
      <selection activeCell="U5" sqref="U5"/>
    </sheetView>
  </sheetViews>
  <sheetFormatPr defaultRowHeight="14.4" x14ac:dyDescent="0.55000000000000004"/>
  <cols>
    <col min="5" max="5" width="15.89453125" customWidth="1"/>
    <col min="6" max="6" width="20.5234375" customWidth="1"/>
    <col min="7" max="7" width="24.5234375" customWidth="1"/>
    <col min="8" max="8" width="30.5234375" customWidth="1"/>
  </cols>
  <sheetData>
    <row r="1" spans="5:8" x14ac:dyDescent="0.55000000000000004">
      <c r="E1" s="41" t="s">
        <v>1</v>
      </c>
      <c r="F1" s="41" t="s">
        <v>263</v>
      </c>
      <c r="G1" t="s">
        <v>264</v>
      </c>
      <c r="H1" t="s">
        <v>265</v>
      </c>
    </row>
    <row r="2" spans="5:8" x14ac:dyDescent="0.55000000000000004">
      <c r="E2" s="42" t="s">
        <v>70</v>
      </c>
      <c r="F2">
        <v>324136.22244639997</v>
      </c>
      <c r="G2">
        <v>39741.919447775996</v>
      </c>
      <c r="H2">
        <v>0.14043802499999997</v>
      </c>
    </row>
    <row r="3" spans="5:8" x14ac:dyDescent="0.55000000000000004">
      <c r="E3" s="42" t="s">
        <v>66</v>
      </c>
      <c r="F3">
        <v>199200</v>
      </c>
      <c r="G3">
        <v>20576</v>
      </c>
      <c r="H3">
        <v>16</v>
      </c>
    </row>
    <row r="4" spans="5:8" x14ac:dyDescent="0.55000000000000004">
      <c r="E4" s="42" t="s">
        <v>68</v>
      </c>
      <c r="F4">
        <v>250680</v>
      </c>
      <c r="G4">
        <v>61864</v>
      </c>
      <c r="H4">
        <v>0.04</v>
      </c>
    </row>
    <row r="5" spans="5:8" x14ac:dyDescent="0.55000000000000004">
      <c r="E5" s="42" t="s">
        <v>72</v>
      </c>
      <c r="F5">
        <v>130720</v>
      </c>
      <c r="G5">
        <v>32680</v>
      </c>
      <c r="H5">
        <v>0.1138</v>
      </c>
    </row>
    <row r="6" spans="5:8" x14ac:dyDescent="0.55000000000000004">
      <c r="E6" s="42" t="s">
        <v>5</v>
      </c>
      <c r="F6">
        <v>2435610</v>
      </c>
      <c r="G6">
        <v>365513</v>
      </c>
      <c r="H6">
        <v>0.13222222222222221</v>
      </c>
    </row>
    <row r="7" spans="5:8" x14ac:dyDescent="0.55000000000000004">
      <c r="E7" s="42" t="s">
        <v>6</v>
      </c>
      <c r="F7">
        <v>1797809</v>
      </c>
      <c r="G7">
        <v>491418</v>
      </c>
      <c r="H7">
        <v>5.4999999999999993E-2</v>
      </c>
    </row>
    <row r="8" spans="5:8" x14ac:dyDescent="0.55000000000000004">
      <c r="E8" s="42" t="s">
        <v>67</v>
      </c>
      <c r="F8">
        <v>226570</v>
      </c>
      <c r="G8">
        <v>61902</v>
      </c>
      <c r="H8">
        <v>0.04</v>
      </c>
    </row>
    <row r="9" spans="5:8" x14ac:dyDescent="0.55000000000000004">
      <c r="E9" s="42" t="s">
        <v>7</v>
      </c>
      <c r="F9">
        <v>1233129</v>
      </c>
      <c r="G9">
        <v>-95676</v>
      </c>
      <c r="H9">
        <v>1.1180000000000001</v>
      </c>
    </row>
    <row r="10" spans="5:8" x14ac:dyDescent="0.55000000000000004">
      <c r="E10" s="42" t="s">
        <v>69</v>
      </c>
      <c r="F10">
        <v>127689</v>
      </c>
      <c r="G10">
        <v>6401</v>
      </c>
      <c r="H10">
        <v>0.14000000000000001</v>
      </c>
    </row>
    <row r="11" spans="5:8" x14ac:dyDescent="0.55000000000000004">
      <c r="E11" s="42" t="s">
        <v>8</v>
      </c>
      <c r="F11">
        <v>2842639.3336751349</v>
      </c>
      <c r="G11">
        <v>343098.59283981228</v>
      </c>
      <c r="H11">
        <v>0.13217176997268268</v>
      </c>
    </row>
    <row r="12" spans="5:8" x14ac:dyDescent="0.55000000000000004">
      <c r="E12" s="42" t="s">
        <v>9</v>
      </c>
      <c r="F12">
        <v>1036752</v>
      </c>
      <c r="G12">
        <v>267915.1166666667</v>
      </c>
      <c r="H12">
        <v>0.96887499999999993</v>
      </c>
    </row>
    <row r="13" spans="5:8" x14ac:dyDescent="0.55000000000000004">
      <c r="E13" s="42" t="s">
        <v>71</v>
      </c>
      <c r="F13">
        <v>134296</v>
      </c>
      <c r="G13">
        <v>44765.333333333328</v>
      </c>
      <c r="H13">
        <v>0.12</v>
      </c>
    </row>
    <row r="14" spans="5:8" x14ac:dyDescent="0.55000000000000004">
      <c r="E14" s="42" t="s">
        <v>262</v>
      </c>
      <c r="F14">
        <v>10739230.556121534</v>
      </c>
      <c r="G14">
        <v>1640198.9622875883</v>
      </c>
      <c r="H14">
        <v>0.75185850891674777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240B-D2CA-45F6-8D20-FB8F830DE3ED}">
  <sheetPr>
    <tabColor rgb="FF00B0F0"/>
  </sheetPr>
  <dimension ref="A1:AA127"/>
  <sheetViews>
    <sheetView zoomScale="61" zoomScaleNormal="115" workbookViewId="0">
      <selection activeCell="D20" sqref="D20"/>
    </sheetView>
  </sheetViews>
  <sheetFormatPr defaultRowHeight="14.4" x14ac:dyDescent="0.55000000000000004"/>
  <cols>
    <col min="1" max="1" width="11" customWidth="1"/>
    <col min="2" max="2" width="9.7890625" customWidth="1"/>
    <col min="3" max="3" width="10.41796875" customWidth="1"/>
    <col min="5" max="5" width="9.1015625" style="12"/>
    <col min="6" max="6" width="10.20703125" customWidth="1"/>
    <col min="7" max="7" width="8.7890625" customWidth="1"/>
    <col min="13" max="15" width="12.7890625" customWidth="1"/>
    <col min="16" max="17" width="16.20703125" customWidth="1"/>
    <col min="18" max="18" width="15.1015625" customWidth="1"/>
    <col min="19" max="19" width="18" customWidth="1"/>
    <col min="20" max="20" width="14.41796875" customWidth="1"/>
    <col min="21" max="21" width="9.20703125" bestFit="1" customWidth="1"/>
    <col min="23" max="23" width="15.1015625" customWidth="1"/>
    <col min="26" max="26" width="13.5234375" customWidth="1"/>
  </cols>
  <sheetData>
    <row r="1" spans="1:18" ht="75" customHeight="1" x14ac:dyDescent="0.55000000000000004">
      <c r="A1" s="57" t="s">
        <v>234</v>
      </c>
      <c r="B1" s="57"/>
      <c r="C1" s="57"/>
      <c r="D1" s="57"/>
      <c r="E1" s="57"/>
      <c r="F1" s="57"/>
      <c r="G1" s="57"/>
      <c r="H1" s="57"/>
      <c r="I1" s="57"/>
      <c r="J1" s="20"/>
      <c r="M1" s="11" t="s">
        <v>32</v>
      </c>
      <c r="N1" s="4" t="s">
        <v>34</v>
      </c>
      <c r="O1" s="4" t="s">
        <v>33</v>
      </c>
      <c r="P1" s="4" t="s">
        <v>35</v>
      </c>
      <c r="Q1" s="4" t="s">
        <v>36</v>
      </c>
      <c r="R1" s="4" t="s">
        <v>30</v>
      </c>
    </row>
    <row r="2" spans="1:18" ht="14.25" customHeight="1" x14ac:dyDescent="0.55000000000000004">
      <c r="A2" s="57"/>
      <c r="B2" s="57"/>
      <c r="C2" s="57"/>
      <c r="D2" s="57"/>
      <c r="E2" s="57"/>
      <c r="F2" s="57"/>
      <c r="G2" s="57"/>
      <c r="H2" s="57"/>
      <c r="I2" s="57"/>
      <c r="J2" s="20"/>
      <c r="M2" s="11">
        <v>1</v>
      </c>
      <c r="N2" t="s">
        <v>38</v>
      </c>
      <c r="O2" s="5" t="s">
        <v>37</v>
      </c>
      <c r="P2" s="24" t="s">
        <v>39</v>
      </c>
      <c r="Q2" s="24" t="s">
        <v>39</v>
      </c>
      <c r="R2" s="24" t="s">
        <v>39</v>
      </c>
    </row>
    <row r="3" spans="1:18" ht="14.25" customHeight="1" x14ac:dyDescent="0.55000000000000004">
      <c r="A3" s="57"/>
      <c r="B3" s="57"/>
      <c r="C3" s="57"/>
      <c r="D3" s="57"/>
      <c r="E3" s="57"/>
      <c r="F3" s="57"/>
      <c r="G3" s="57"/>
      <c r="H3" s="57"/>
      <c r="I3" s="57"/>
      <c r="J3" s="20"/>
      <c r="M3" s="11">
        <v>2</v>
      </c>
      <c r="N3" t="s">
        <v>41</v>
      </c>
      <c r="O3" s="5" t="s">
        <v>40</v>
      </c>
      <c r="P3" s="24"/>
      <c r="Q3" s="24"/>
      <c r="R3" s="24"/>
    </row>
    <row r="4" spans="1:18" ht="14.25" customHeight="1" x14ac:dyDescent="0.55000000000000004">
      <c r="A4" s="57"/>
      <c r="B4" s="57"/>
      <c r="C4" s="57"/>
      <c r="D4" s="57"/>
      <c r="E4" s="57"/>
      <c r="F4" s="57"/>
      <c r="G4" s="57"/>
      <c r="H4" s="57"/>
      <c r="I4" s="57"/>
      <c r="J4" s="20"/>
      <c r="M4" s="11">
        <v>3</v>
      </c>
      <c r="N4" t="s">
        <v>43</v>
      </c>
      <c r="O4" s="5" t="s">
        <v>42</v>
      </c>
      <c r="P4" s="24"/>
      <c r="Q4" s="24"/>
      <c r="R4" s="24"/>
    </row>
    <row r="5" spans="1:18" x14ac:dyDescent="0.55000000000000004">
      <c r="A5" s="13"/>
      <c r="M5" s="11">
        <v>4</v>
      </c>
      <c r="N5" t="s">
        <v>45</v>
      </c>
      <c r="O5" s="5" t="s">
        <v>44</v>
      </c>
      <c r="P5" s="24"/>
      <c r="Q5" s="24"/>
      <c r="R5" s="24"/>
    </row>
    <row r="6" spans="1:18" x14ac:dyDescent="0.55000000000000004">
      <c r="A6" s="13" t="s">
        <v>59</v>
      </c>
      <c r="E6"/>
      <c r="M6" s="11">
        <v>5</v>
      </c>
      <c r="N6" t="s">
        <v>47</v>
      </c>
      <c r="O6" s="5" t="s">
        <v>46</v>
      </c>
      <c r="P6" s="24"/>
      <c r="Q6" s="24"/>
      <c r="R6" s="24"/>
    </row>
    <row r="7" spans="1:18" ht="14.25" customHeight="1" x14ac:dyDescent="0.55000000000000004">
      <c r="B7" s="1" t="s">
        <v>78</v>
      </c>
      <c r="E7"/>
      <c r="M7" s="11">
        <v>6</v>
      </c>
      <c r="N7" t="s">
        <v>49</v>
      </c>
      <c r="O7" s="5" t="s">
        <v>48</v>
      </c>
      <c r="P7" s="24"/>
      <c r="Q7" s="24"/>
      <c r="R7" s="24"/>
    </row>
    <row r="8" spans="1:18" ht="14.25" customHeight="1" x14ac:dyDescent="0.55000000000000004">
      <c r="B8" s="13" t="s">
        <v>83</v>
      </c>
      <c r="E8"/>
      <c r="M8" s="11">
        <v>7</v>
      </c>
      <c r="N8" t="s">
        <v>51</v>
      </c>
      <c r="O8" s="5" t="s">
        <v>50</v>
      </c>
      <c r="P8" s="24" t="s">
        <v>101</v>
      </c>
      <c r="Q8" s="24" t="s">
        <v>101</v>
      </c>
      <c r="R8" s="24" t="s">
        <v>101</v>
      </c>
    </row>
    <row r="9" spans="1:18" x14ac:dyDescent="0.55000000000000004">
      <c r="C9" t="s">
        <v>73</v>
      </c>
      <c r="E9"/>
    </row>
    <row r="10" spans="1:18" x14ac:dyDescent="0.55000000000000004">
      <c r="C10" t="s">
        <v>235</v>
      </c>
      <c r="D10" s="20"/>
      <c r="E10"/>
    </row>
    <row r="11" spans="1:18" x14ac:dyDescent="0.55000000000000004">
      <c r="A11" s="1"/>
      <c r="C11" t="s">
        <v>74</v>
      </c>
      <c r="D11" s="20"/>
      <c r="E11"/>
    </row>
    <row r="12" spans="1:18" x14ac:dyDescent="0.55000000000000004">
      <c r="A12" s="1"/>
      <c r="C12" t="s">
        <v>75</v>
      </c>
      <c r="D12" s="20"/>
      <c r="E12"/>
    </row>
    <row r="13" spans="1:18" x14ac:dyDescent="0.55000000000000004">
      <c r="D13" s="20"/>
      <c r="E13"/>
    </row>
    <row r="14" spans="1:18" x14ac:dyDescent="0.55000000000000004">
      <c r="B14" s="13" t="s">
        <v>77</v>
      </c>
      <c r="D14" s="20"/>
      <c r="E14"/>
    </row>
    <row r="15" spans="1:18" x14ac:dyDescent="0.55000000000000004">
      <c r="C15" t="s">
        <v>80</v>
      </c>
      <c r="E15"/>
    </row>
    <row r="16" spans="1:18" x14ac:dyDescent="0.55000000000000004">
      <c r="C16" t="s">
        <v>236</v>
      </c>
      <c r="E16"/>
    </row>
    <row r="17" spans="2:27" x14ac:dyDescent="0.55000000000000004">
      <c r="C17" s="56" t="s">
        <v>79</v>
      </c>
      <c r="D17" s="56"/>
      <c r="E17" s="56"/>
      <c r="F17" s="56"/>
      <c r="G17" s="56"/>
      <c r="H17" s="56"/>
      <c r="I17" s="56"/>
    </row>
    <row r="18" spans="2:27" x14ac:dyDescent="0.55000000000000004">
      <c r="E18"/>
      <c r="T18" s="14"/>
    </row>
    <row r="19" spans="2:27" x14ac:dyDescent="0.55000000000000004">
      <c r="B19" s="13" t="s">
        <v>95</v>
      </c>
      <c r="D19" s="20"/>
      <c r="E19"/>
      <c r="T19" s="14"/>
    </row>
    <row r="20" spans="2:27" ht="15" customHeight="1" x14ac:dyDescent="0.55000000000000004">
      <c r="C20" t="s">
        <v>81</v>
      </c>
      <c r="E20"/>
    </row>
    <row r="21" spans="2:27" ht="15" customHeight="1" x14ac:dyDescent="0.55000000000000004">
      <c r="C21" t="s">
        <v>96</v>
      </c>
      <c r="E21"/>
    </row>
    <row r="22" spans="2:27" x14ac:dyDescent="0.55000000000000004">
      <c r="C22" t="s">
        <v>237</v>
      </c>
      <c r="E22"/>
    </row>
    <row r="23" spans="2:27" x14ac:dyDescent="0.55000000000000004">
      <c r="C23" t="s">
        <v>82</v>
      </c>
      <c r="E23"/>
    </row>
    <row r="24" spans="2:27" x14ac:dyDescent="0.55000000000000004">
      <c r="C24" t="s">
        <v>237</v>
      </c>
      <c r="E24"/>
    </row>
    <row r="25" spans="2:27" x14ac:dyDescent="0.55000000000000004">
      <c r="C25" t="s">
        <v>84</v>
      </c>
      <c r="E25"/>
      <c r="T25" s="13"/>
      <c r="U25" s="13"/>
    </row>
    <row r="26" spans="2:27" x14ac:dyDescent="0.55000000000000004">
      <c r="C26" t="s">
        <v>85</v>
      </c>
      <c r="E26"/>
      <c r="T26" s="13"/>
      <c r="U26" s="13"/>
    </row>
    <row r="27" spans="2:27" x14ac:dyDescent="0.55000000000000004">
      <c r="E27"/>
      <c r="T27" s="13"/>
      <c r="U27" s="13"/>
    </row>
    <row r="28" spans="2:27" x14ac:dyDescent="0.55000000000000004">
      <c r="E28"/>
      <c r="T28" s="15"/>
      <c r="U28" s="13"/>
      <c r="W28" s="15"/>
      <c r="X28" s="13"/>
      <c r="Z28" s="15"/>
      <c r="AA28" s="13"/>
    </row>
    <row r="29" spans="2:27" x14ac:dyDescent="0.55000000000000004">
      <c r="E29"/>
      <c r="T29" s="13"/>
      <c r="U29" s="13"/>
      <c r="W29" s="13"/>
      <c r="X29" s="13"/>
      <c r="Z29" s="13"/>
      <c r="AA29" s="13"/>
    </row>
    <row r="30" spans="2:27" x14ac:dyDescent="0.55000000000000004">
      <c r="E30"/>
      <c r="T30" s="13"/>
      <c r="U30" s="16"/>
      <c r="W30" s="13"/>
      <c r="X30" s="16"/>
      <c r="Z30" s="13"/>
      <c r="AA30" s="16"/>
    </row>
    <row r="31" spans="2:27" x14ac:dyDescent="0.55000000000000004">
      <c r="E31"/>
      <c r="T31" s="13"/>
      <c r="U31" s="16"/>
      <c r="W31" s="13"/>
      <c r="X31" s="16"/>
      <c r="Z31" s="13"/>
      <c r="AA31" s="16"/>
    </row>
    <row r="32" spans="2:27" x14ac:dyDescent="0.55000000000000004">
      <c r="E32"/>
      <c r="T32" s="13"/>
      <c r="U32" s="16"/>
      <c r="W32" s="13"/>
      <c r="X32" s="16"/>
      <c r="Z32" s="13"/>
      <c r="AA32" s="16"/>
    </row>
    <row r="33" spans="5:27" x14ac:dyDescent="0.55000000000000004">
      <c r="E33"/>
      <c r="T33" s="13"/>
      <c r="U33" s="13"/>
      <c r="W33" s="13"/>
      <c r="X33" s="13"/>
      <c r="Z33" s="13"/>
      <c r="AA33" s="13"/>
    </row>
    <row r="34" spans="5:27" x14ac:dyDescent="0.55000000000000004">
      <c r="E34"/>
      <c r="T34" s="17"/>
      <c r="U34" s="18"/>
      <c r="W34" s="17"/>
      <c r="X34" s="18"/>
      <c r="Z34" s="17"/>
      <c r="AA34" s="18"/>
    </row>
    <row r="35" spans="5:27" x14ac:dyDescent="0.55000000000000004">
      <c r="E35"/>
    </row>
    <row r="36" spans="5:27" x14ac:dyDescent="0.55000000000000004">
      <c r="E36"/>
    </row>
    <row r="37" spans="5:27" x14ac:dyDescent="0.55000000000000004">
      <c r="E37"/>
    </row>
    <row r="38" spans="5:27" x14ac:dyDescent="0.55000000000000004">
      <c r="E38"/>
    </row>
    <row r="39" spans="5:27" x14ac:dyDescent="0.55000000000000004">
      <c r="E39"/>
    </row>
    <row r="40" spans="5:27" x14ac:dyDescent="0.55000000000000004">
      <c r="E40"/>
    </row>
    <row r="41" spans="5:27" x14ac:dyDescent="0.55000000000000004">
      <c r="E41"/>
    </row>
    <row r="42" spans="5:27" x14ac:dyDescent="0.55000000000000004">
      <c r="E42"/>
    </row>
    <row r="43" spans="5:27" x14ac:dyDescent="0.55000000000000004">
      <c r="E43"/>
    </row>
    <row r="44" spans="5:27" x14ac:dyDescent="0.55000000000000004">
      <c r="E44"/>
    </row>
    <row r="45" spans="5:27" x14ac:dyDescent="0.55000000000000004">
      <c r="E45"/>
    </row>
    <row r="46" spans="5:27" x14ac:dyDescent="0.55000000000000004">
      <c r="E46"/>
    </row>
    <row r="47" spans="5:27" x14ac:dyDescent="0.55000000000000004">
      <c r="E47"/>
    </row>
    <row r="48" spans="5:27" x14ac:dyDescent="0.55000000000000004">
      <c r="E48"/>
    </row>
    <row r="49" spans="1:5" x14ac:dyDescent="0.55000000000000004">
      <c r="E49"/>
    </row>
    <row r="50" spans="1:5" x14ac:dyDescent="0.55000000000000004">
      <c r="E50"/>
    </row>
    <row r="51" spans="1:5" x14ac:dyDescent="0.55000000000000004">
      <c r="E51"/>
    </row>
    <row r="52" spans="1:5" x14ac:dyDescent="0.55000000000000004">
      <c r="E52"/>
    </row>
    <row r="53" spans="1:5" x14ac:dyDescent="0.55000000000000004">
      <c r="E53"/>
    </row>
    <row r="54" spans="1:5" x14ac:dyDescent="0.55000000000000004">
      <c r="E54"/>
    </row>
    <row r="55" spans="1:5" x14ac:dyDescent="0.55000000000000004">
      <c r="E55"/>
    </row>
    <row r="56" spans="1:5" x14ac:dyDescent="0.55000000000000004">
      <c r="E56"/>
    </row>
    <row r="57" spans="1:5" x14ac:dyDescent="0.55000000000000004">
      <c r="E57"/>
    </row>
    <row r="58" spans="1:5" x14ac:dyDescent="0.55000000000000004">
      <c r="E58"/>
    </row>
    <row r="59" spans="1:5" x14ac:dyDescent="0.55000000000000004">
      <c r="E59"/>
    </row>
    <row r="60" spans="1:5" x14ac:dyDescent="0.55000000000000004">
      <c r="E60"/>
    </row>
    <row r="61" spans="1:5" x14ac:dyDescent="0.55000000000000004">
      <c r="E61"/>
    </row>
    <row r="62" spans="1:5" x14ac:dyDescent="0.55000000000000004">
      <c r="A62" s="23"/>
      <c r="D62" s="12"/>
    </row>
    <row r="63" spans="1:5" x14ac:dyDescent="0.55000000000000004">
      <c r="A63" s="23"/>
      <c r="D63" s="12"/>
    </row>
    <row r="64" spans="1:5" x14ac:dyDescent="0.55000000000000004">
      <c r="A64" s="23"/>
      <c r="D64" s="12"/>
    </row>
    <row r="65" spans="1:4" x14ac:dyDescent="0.55000000000000004">
      <c r="A65" s="23"/>
      <c r="D65" s="12"/>
    </row>
    <row r="66" spans="1:4" x14ac:dyDescent="0.55000000000000004">
      <c r="A66" s="23"/>
      <c r="D66" s="12"/>
    </row>
    <row r="67" spans="1:4" x14ac:dyDescent="0.55000000000000004">
      <c r="A67" s="23"/>
      <c r="D67" s="12"/>
    </row>
    <row r="68" spans="1:4" x14ac:dyDescent="0.55000000000000004">
      <c r="A68" s="23"/>
      <c r="D68" s="12"/>
    </row>
    <row r="69" spans="1:4" x14ac:dyDescent="0.55000000000000004">
      <c r="A69" s="23"/>
      <c r="D69" s="12"/>
    </row>
    <row r="70" spans="1:4" x14ac:dyDescent="0.55000000000000004">
      <c r="A70" s="23"/>
      <c r="D70" s="12"/>
    </row>
    <row r="71" spans="1:4" x14ac:dyDescent="0.55000000000000004">
      <c r="A71" s="23"/>
      <c r="D71" s="12"/>
    </row>
    <row r="72" spans="1:4" x14ac:dyDescent="0.55000000000000004">
      <c r="A72" s="23"/>
      <c r="D72" s="12"/>
    </row>
    <row r="73" spans="1:4" x14ac:dyDescent="0.55000000000000004">
      <c r="A73" s="23"/>
      <c r="D73" s="12"/>
    </row>
    <row r="74" spans="1:4" x14ac:dyDescent="0.55000000000000004">
      <c r="A74" s="23"/>
      <c r="D74" s="12"/>
    </row>
    <row r="75" spans="1:4" x14ac:dyDescent="0.55000000000000004">
      <c r="A75" s="23"/>
      <c r="D75" s="12"/>
    </row>
    <row r="76" spans="1:4" x14ac:dyDescent="0.55000000000000004">
      <c r="A76" s="23"/>
      <c r="D76" s="12"/>
    </row>
    <row r="77" spans="1:4" x14ac:dyDescent="0.55000000000000004">
      <c r="A77" s="23"/>
      <c r="D77" s="12"/>
    </row>
    <row r="78" spans="1:4" x14ac:dyDescent="0.55000000000000004">
      <c r="A78" s="23"/>
      <c r="D78" s="12"/>
    </row>
    <row r="79" spans="1:4" x14ac:dyDescent="0.55000000000000004">
      <c r="A79" s="23"/>
      <c r="D79" s="12"/>
    </row>
    <row r="80" spans="1:4" x14ac:dyDescent="0.55000000000000004">
      <c r="A80" s="23"/>
      <c r="D80" s="12"/>
    </row>
    <row r="81" spans="1:4" x14ac:dyDescent="0.55000000000000004">
      <c r="A81" s="23"/>
      <c r="D81" s="12"/>
    </row>
    <row r="82" spans="1:4" x14ac:dyDescent="0.55000000000000004">
      <c r="A82" s="23"/>
      <c r="D82" s="12"/>
    </row>
    <row r="83" spans="1:4" x14ac:dyDescent="0.55000000000000004">
      <c r="A83" s="23"/>
      <c r="D83" s="12"/>
    </row>
    <row r="84" spans="1:4" x14ac:dyDescent="0.55000000000000004">
      <c r="A84" s="23"/>
      <c r="D84" s="12"/>
    </row>
    <row r="85" spans="1:4" x14ac:dyDescent="0.55000000000000004">
      <c r="A85" s="23"/>
      <c r="D85" s="12"/>
    </row>
    <row r="86" spans="1:4" x14ac:dyDescent="0.55000000000000004">
      <c r="A86" s="23"/>
      <c r="D86" s="12"/>
    </row>
    <row r="87" spans="1:4" x14ac:dyDescent="0.55000000000000004">
      <c r="A87" s="23"/>
      <c r="D87" s="12"/>
    </row>
    <row r="88" spans="1:4" x14ac:dyDescent="0.55000000000000004">
      <c r="A88" s="23"/>
      <c r="D88" s="12"/>
    </row>
    <row r="89" spans="1:4" x14ac:dyDescent="0.55000000000000004">
      <c r="A89" s="23"/>
      <c r="D89" s="12"/>
    </row>
    <row r="90" spans="1:4" x14ac:dyDescent="0.55000000000000004">
      <c r="A90" s="23"/>
      <c r="D90" s="12"/>
    </row>
    <row r="91" spans="1:4" x14ac:dyDescent="0.55000000000000004">
      <c r="A91" s="23"/>
      <c r="D91" s="12"/>
    </row>
    <row r="92" spans="1:4" x14ac:dyDescent="0.55000000000000004">
      <c r="A92" s="23"/>
      <c r="D92" s="12"/>
    </row>
    <row r="93" spans="1:4" x14ac:dyDescent="0.55000000000000004">
      <c r="A93" s="23"/>
      <c r="D93" s="12"/>
    </row>
    <row r="94" spans="1:4" x14ac:dyDescent="0.55000000000000004">
      <c r="A94" s="23"/>
      <c r="D94" s="12"/>
    </row>
    <row r="95" spans="1:4" x14ac:dyDescent="0.55000000000000004">
      <c r="A95" s="23"/>
      <c r="D95" s="12"/>
    </row>
    <row r="96" spans="1:4" x14ac:dyDescent="0.55000000000000004">
      <c r="A96" s="23"/>
      <c r="D96" s="12"/>
    </row>
    <row r="97" spans="1:4" x14ac:dyDescent="0.55000000000000004">
      <c r="A97" s="23"/>
      <c r="D97" s="12"/>
    </row>
    <row r="98" spans="1:4" x14ac:dyDescent="0.55000000000000004">
      <c r="A98" s="23"/>
      <c r="D98" s="12"/>
    </row>
    <row r="99" spans="1:4" x14ac:dyDescent="0.55000000000000004">
      <c r="A99" s="23"/>
      <c r="D99" s="12"/>
    </row>
    <row r="100" spans="1:4" x14ac:dyDescent="0.55000000000000004">
      <c r="A100" s="23"/>
      <c r="D100" s="12"/>
    </row>
    <row r="101" spans="1:4" x14ac:dyDescent="0.55000000000000004">
      <c r="A101" s="23"/>
      <c r="D101" s="12"/>
    </row>
    <row r="102" spans="1:4" x14ac:dyDescent="0.55000000000000004">
      <c r="A102" s="23"/>
      <c r="D102" s="12"/>
    </row>
    <row r="103" spans="1:4" x14ac:dyDescent="0.55000000000000004">
      <c r="A103" s="23"/>
      <c r="D103" s="12"/>
    </row>
    <row r="104" spans="1:4" x14ac:dyDescent="0.55000000000000004">
      <c r="A104" s="23"/>
      <c r="D104" s="12"/>
    </row>
    <row r="105" spans="1:4" x14ac:dyDescent="0.55000000000000004">
      <c r="A105" s="23"/>
      <c r="D105" s="12"/>
    </row>
    <row r="106" spans="1:4" x14ac:dyDescent="0.55000000000000004">
      <c r="A106" s="23"/>
      <c r="D106" s="12"/>
    </row>
    <row r="107" spans="1:4" x14ac:dyDescent="0.55000000000000004">
      <c r="A107" s="23"/>
      <c r="D107" s="12"/>
    </row>
    <row r="108" spans="1:4" x14ac:dyDescent="0.55000000000000004">
      <c r="A108" s="23"/>
      <c r="D108" s="12"/>
    </row>
    <row r="109" spans="1:4" x14ac:dyDescent="0.55000000000000004">
      <c r="A109" s="23"/>
      <c r="D109" s="12"/>
    </row>
    <row r="110" spans="1:4" x14ac:dyDescent="0.55000000000000004">
      <c r="A110" s="23"/>
      <c r="D110" s="12"/>
    </row>
    <row r="111" spans="1:4" x14ac:dyDescent="0.55000000000000004">
      <c r="A111" s="23"/>
      <c r="D111" s="12"/>
    </row>
    <row r="112" spans="1:4" x14ac:dyDescent="0.55000000000000004">
      <c r="A112" s="23"/>
      <c r="D112" s="12"/>
    </row>
    <row r="113" spans="1:4" x14ac:dyDescent="0.55000000000000004">
      <c r="A113" s="23"/>
      <c r="D113" s="12"/>
    </row>
    <row r="114" spans="1:4" x14ac:dyDescent="0.55000000000000004">
      <c r="A114" s="23"/>
      <c r="D114" s="12"/>
    </row>
    <row r="115" spans="1:4" x14ac:dyDescent="0.55000000000000004">
      <c r="A115" s="23"/>
      <c r="D115" s="12"/>
    </row>
    <row r="116" spans="1:4" x14ac:dyDescent="0.55000000000000004">
      <c r="A116" s="23"/>
      <c r="D116" s="12"/>
    </row>
    <row r="117" spans="1:4" x14ac:dyDescent="0.55000000000000004">
      <c r="A117" s="23"/>
      <c r="D117" s="12"/>
    </row>
    <row r="118" spans="1:4" x14ac:dyDescent="0.55000000000000004">
      <c r="A118" s="23"/>
      <c r="D118" s="12"/>
    </row>
    <row r="119" spans="1:4" x14ac:dyDescent="0.55000000000000004">
      <c r="A119" s="23"/>
      <c r="D119" s="12"/>
    </row>
    <row r="120" spans="1:4" x14ac:dyDescent="0.55000000000000004">
      <c r="A120" s="23"/>
      <c r="D120" s="12"/>
    </row>
    <row r="121" spans="1:4" x14ac:dyDescent="0.55000000000000004">
      <c r="A121" s="23"/>
      <c r="D121" s="12"/>
    </row>
    <row r="122" spans="1:4" x14ac:dyDescent="0.55000000000000004">
      <c r="A122" s="23"/>
      <c r="D122" s="12"/>
    </row>
    <row r="123" spans="1:4" x14ac:dyDescent="0.55000000000000004">
      <c r="A123" s="23"/>
      <c r="D123" s="12"/>
    </row>
    <row r="124" spans="1:4" x14ac:dyDescent="0.55000000000000004">
      <c r="A124" s="23"/>
      <c r="D124" s="12"/>
    </row>
    <row r="125" spans="1:4" x14ac:dyDescent="0.55000000000000004">
      <c r="A125" s="23"/>
      <c r="D125" s="12"/>
    </row>
    <row r="126" spans="1:4" x14ac:dyDescent="0.55000000000000004">
      <c r="A126" s="23"/>
      <c r="D126" s="12"/>
    </row>
    <row r="127" spans="1:4" x14ac:dyDescent="0.55000000000000004">
      <c r="A127" s="5"/>
    </row>
  </sheetData>
  <mergeCells count="2">
    <mergeCell ref="C17:I17"/>
    <mergeCell ref="A1:I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78CFA-1885-41AA-9838-95EB765B693C}">
  <sheetPr>
    <tabColor rgb="FF00B0F0"/>
  </sheetPr>
  <dimension ref="A1:G120"/>
  <sheetViews>
    <sheetView zoomScale="72" zoomScaleNormal="115" workbookViewId="0">
      <selection activeCell="A120" sqref="A120:XFD120"/>
    </sheetView>
  </sheetViews>
  <sheetFormatPr defaultRowHeight="14.4" x14ac:dyDescent="0.55000000000000004"/>
  <cols>
    <col min="1" max="1" width="33.7890625" customWidth="1"/>
    <col min="2" max="2" width="15.68359375" customWidth="1"/>
    <col min="3" max="3" width="20.41796875" customWidth="1"/>
    <col min="4" max="4" width="10.1015625" customWidth="1"/>
    <col min="5" max="5" width="11.41796875" style="12" customWidth="1"/>
    <col min="6" max="6" width="16.7890625" customWidth="1"/>
    <col min="7" max="7" width="9.5234375" bestFit="1" customWidth="1"/>
  </cols>
  <sheetData>
    <row r="1" spans="1:7" x14ac:dyDescent="0.55000000000000004">
      <c r="A1" s="58" t="s">
        <v>222</v>
      </c>
      <c r="B1" s="58"/>
      <c r="C1" s="58"/>
      <c r="D1" s="58"/>
      <c r="E1" s="58"/>
      <c r="F1" s="58"/>
    </row>
    <row r="2" spans="1:7" x14ac:dyDescent="0.55000000000000004">
      <c r="A2" s="4" t="s">
        <v>223</v>
      </c>
      <c r="B2" s="4" t="s">
        <v>58</v>
      </c>
      <c r="C2" s="4" t="s">
        <v>57</v>
      </c>
      <c r="D2" s="4" t="s">
        <v>24</v>
      </c>
      <c r="E2" s="4" t="s">
        <v>224</v>
      </c>
      <c r="F2" s="4" t="s">
        <v>76</v>
      </c>
    </row>
    <row r="3" spans="1:7" x14ac:dyDescent="0.55000000000000004">
      <c r="A3" s="26" t="s">
        <v>104</v>
      </c>
      <c r="B3" t="s">
        <v>52</v>
      </c>
      <c r="C3" s="5">
        <v>1</v>
      </c>
      <c r="D3" s="19">
        <v>1.5</v>
      </c>
      <c r="E3" s="19">
        <v>3.5</v>
      </c>
      <c r="F3" s="5">
        <v>1</v>
      </c>
      <c r="G3" s="25"/>
    </row>
    <row r="4" spans="1:7" x14ac:dyDescent="0.55000000000000004">
      <c r="A4" s="26" t="s">
        <v>107</v>
      </c>
      <c r="B4" t="s">
        <v>52</v>
      </c>
      <c r="C4" s="5">
        <v>6</v>
      </c>
      <c r="D4" s="19">
        <v>1.5</v>
      </c>
      <c r="E4" s="19">
        <v>3</v>
      </c>
      <c r="F4" s="5">
        <v>3</v>
      </c>
    </row>
    <row r="5" spans="1:7" x14ac:dyDescent="0.55000000000000004">
      <c r="A5" s="26" t="s">
        <v>108</v>
      </c>
      <c r="B5" t="s">
        <v>52</v>
      </c>
      <c r="C5" s="5">
        <v>6</v>
      </c>
      <c r="D5" s="19">
        <v>1.5</v>
      </c>
      <c r="E5" s="19">
        <v>3</v>
      </c>
      <c r="F5" s="5">
        <v>3</v>
      </c>
    </row>
    <row r="6" spans="1:7" x14ac:dyDescent="0.55000000000000004">
      <c r="A6" s="26" t="s">
        <v>109</v>
      </c>
      <c r="B6" t="s">
        <v>52</v>
      </c>
      <c r="C6" s="5">
        <v>6</v>
      </c>
      <c r="D6" s="19">
        <v>1.5</v>
      </c>
      <c r="E6" s="19">
        <v>2.5</v>
      </c>
      <c r="F6" s="5">
        <v>3</v>
      </c>
    </row>
    <row r="7" spans="1:7" x14ac:dyDescent="0.55000000000000004">
      <c r="A7" s="26" t="s">
        <v>111</v>
      </c>
      <c r="B7" t="s">
        <v>52</v>
      </c>
      <c r="C7" s="5">
        <v>1</v>
      </c>
      <c r="D7" s="19">
        <v>1.5</v>
      </c>
      <c r="E7" s="19">
        <v>3.5</v>
      </c>
      <c r="F7" s="5">
        <v>1</v>
      </c>
    </row>
    <row r="8" spans="1:7" ht="15" customHeight="1" x14ac:dyDescent="0.55000000000000004">
      <c r="A8" s="26" t="s">
        <v>116</v>
      </c>
      <c r="B8" t="s">
        <v>52</v>
      </c>
      <c r="C8" s="5">
        <v>8</v>
      </c>
      <c r="D8" s="19">
        <v>1.5</v>
      </c>
      <c r="E8" s="19">
        <v>2.5</v>
      </c>
      <c r="F8" s="5">
        <v>4</v>
      </c>
    </row>
    <row r="9" spans="1:7" x14ac:dyDescent="0.55000000000000004">
      <c r="A9" s="26" t="s">
        <v>119</v>
      </c>
      <c r="B9" t="s">
        <v>52</v>
      </c>
      <c r="C9" s="5">
        <v>9</v>
      </c>
      <c r="D9" s="19">
        <v>1.5</v>
      </c>
      <c r="E9" s="19">
        <v>2.5</v>
      </c>
      <c r="F9" s="5">
        <v>5</v>
      </c>
    </row>
    <row r="10" spans="1:7" x14ac:dyDescent="0.55000000000000004">
      <c r="A10" s="26" t="s">
        <v>120</v>
      </c>
      <c r="B10" t="s">
        <v>52</v>
      </c>
      <c r="C10" s="5">
        <v>7</v>
      </c>
      <c r="D10" s="19">
        <v>1.5</v>
      </c>
      <c r="E10" s="19">
        <v>2.5</v>
      </c>
      <c r="F10" s="5">
        <v>4</v>
      </c>
    </row>
    <row r="11" spans="1:7" x14ac:dyDescent="0.55000000000000004">
      <c r="A11" s="26" t="s">
        <v>121</v>
      </c>
      <c r="B11" t="s">
        <v>52</v>
      </c>
      <c r="C11" s="5">
        <v>6</v>
      </c>
      <c r="D11" s="19">
        <v>1.5</v>
      </c>
      <c r="E11" s="19">
        <v>3</v>
      </c>
      <c r="F11" s="5">
        <v>3</v>
      </c>
    </row>
    <row r="12" spans="1:7" x14ac:dyDescent="0.55000000000000004">
      <c r="A12" s="26" t="s">
        <v>122</v>
      </c>
      <c r="B12" t="s">
        <v>52</v>
      </c>
      <c r="C12" s="5">
        <v>6</v>
      </c>
      <c r="D12" s="19">
        <v>1.5</v>
      </c>
      <c r="E12" s="19">
        <v>2.5</v>
      </c>
      <c r="F12" s="5">
        <v>3</v>
      </c>
    </row>
    <row r="13" spans="1:7" x14ac:dyDescent="0.55000000000000004">
      <c r="A13" s="26" t="s">
        <v>123</v>
      </c>
      <c r="B13" t="s">
        <v>52</v>
      </c>
      <c r="C13" s="5">
        <v>6</v>
      </c>
      <c r="D13" s="19">
        <v>1.5</v>
      </c>
      <c r="E13" s="19">
        <v>3</v>
      </c>
      <c r="F13" s="5">
        <v>3</v>
      </c>
    </row>
    <row r="14" spans="1:7" x14ac:dyDescent="0.55000000000000004">
      <c r="A14" s="26" t="s">
        <v>124</v>
      </c>
      <c r="B14" t="s">
        <v>52</v>
      </c>
      <c r="C14" s="5">
        <v>4</v>
      </c>
      <c r="D14" s="19">
        <v>1.5</v>
      </c>
      <c r="E14" s="19">
        <v>3</v>
      </c>
      <c r="F14" s="5">
        <v>2</v>
      </c>
    </row>
    <row r="15" spans="1:7" x14ac:dyDescent="0.55000000000000004">
      <c r="A15" s="26" t="s">
        <v>125</v>
      </c>
      <c r="B15" t="s">
        <v>52</v>
      </c>
      <c r="C15" s="5">
        <v>5</v>
      </c>
      <c r="D15" s="19">
        <v>1.5</v>
      </c>
      <c r="E15" s="19">
        <v>3</v>
      </c>
      <c r="F15" s="5">
        <v>3</v>
      </c>
    </row>
    <row r="16" spans="1:7" x14ac:dyDescent="0.55000000000000004">
      <c r="A16" s="26" t="s">
        <v>126</v>
      </c>
      <c r="B16" t="s">
        <v>52</v>
      </c>
      <c r="C16" s="5">
        <v>2</v>
      </c>
      <c r="D16" s="19">
        <v>1.5</v>
      </c>
      <c r="E16" s="19">
        <v>3.5</v>
      </c>
      <c r="F16" s="5">
        <v>1</v>
      </c>
    </row>
    <row r="17" spans="1:6" x14ac:dyDescent="0.55000000000000004">
      <c r="A17" s="26" t="s">
        <v>128</v>
      </c>
      <c r="B17" t="s">
        <v>52</v>
      </c>
      <c r="C17" s="5">
        <v>1</v>
      </c>
      <c r="D17" s="19">
        <v>1.5</v>
      </c>
      <c r="E17" s="19">
        <v>3.5</v>
      </c>
      <c r="F17" s="5">
        <v>1</v>
      </c>
    </row>
    <row r="18" spans="1:6" x14ac:dyDescent="0.55000000000000004">
      <c r="A18" s="26" t="s">
        <v>131</v>
      </c>
      <c r="B18" t="s">
        <v>52</v>
      </c>
      <c r="C18" s="5">
        <v>2</v>
      </c>
      <c r="D18" s="19">
        <v>1.5</v>
      </c>
      <c r="E18" s="19">
        <v>3.5</v>
      </c>
      <c r="F18" s="5">
        <v>1</v>
      </c>
    </row>
    <row r="19" spans="1:6" x14ac:dyDescent="0.55000000000000004">
      <c r="A19" s="26" t="s">
        <v>132</v>
      </c>
      <c r="B19" t="s">
        <v>52</v>
      </c>
      <c r="C19" s="5">
        <v>6</v>
      </c>
      <c r="D19" s="19">
        <v>1.5</v>
      </c>
      <c r="E19" s="19">
        <v>3</v>
      </c>
      <c r="F19" s="5">
        <v>3</v>
      </c>
    </row>
    <row r="20" spans="1:6" x14ac:dyDescent="0.55000000000000004">
      <c r="A20" s="26" t="s">
        <v>134</v>
      </c>
      <c r="B20" t="s">
        <v>52</v>
      </c>
      <c r="C20" s="5">
        <v>6</v>
      </c>
      <c r="D20" s="19">
        <v>1.5</v>
      </c>
      <c r="E20" s="19">
        <v>3</v>
      </c>
      <c r="F20" s="5">
        <v>3</v>
      </c>
    </row>
    <row r="21" spans="1:6" x14ac:dyDescent="0.55000000000000004">
      <c r="A21" s="26" t="s">
        <v>135</v>
      </c>
      <c r="B21" t="s">
        <v>52</v>
      </c>
      <c r="C21" s="5">
        <v>7</v>
      </c>
      <c r="D21" s="19">
        <v>1.5</v>
      </c>
      <c r="E21" s="19">
        <v>3</v>
      </c>
      <c r="F21" s="5">
        <v>4</v>
      </c>
    </row>
    <row r="22" spans="1:6" x14ac:dyDescent="0.55000000000000004">
      <c r="A22" s="26" t="s">
        <v>138</v>
      </c>
      <c r="B22" t="s">
        <v>52</v>
      </c>
      <c r="C22" s="5">
        <v>7</v>
      </c>
      <c r="D22" s="19">
        <v>1.5</v>
      </c>
      <c r="E22" s="19">
        <v>2.5</v>
      </c>
      <c r="F22" s="5">
        <v>4</v>
      </c>
    </row>
    <row r="23" spans="1:6" x14ac:dyDescent="0.55000000000000004">
      <c r="A23" s="26" t="s">
        <v>139</v>
      </c>
      <c r="B23" t="s">
        <v>52</v>
      </c>
      <c r="C23" s="5">
        <v>9</v>
      </c>
      <c r="D23" s="19">
        <v>1.5</v>
      </c>
      <c r="E23" s="19">
        <v>2.5</v>
      </c>
      <c r="F23" s="5">
        <v>5</v>
      </c>
    </row>
    <row r="24" spans="1:6" x14ac:dyDescent="0.55000000000000004">
      <c r="A24" s="26" t="s">
        <v>140</v>
      </c>
      <c r="B24" t="s">
        <v>52</v>
      </c>
      <c r="C24" s="5">
        <v>2</v>
      </c>
      <c r="D24" s="19">
        <v>1.5</v>
      </c>
      <c r="E24" s="19">
        <v>3.5</v>
      </c>
      <c r="F24" s="5">
        <v>1</v>
      </c>
    </row>
    <row r="25" spans="1:6" x14ac:dyDescent="0.55000000000000004">
      <c r="A25" s="26" t="s">
        <v>142</v>
      </c>
      <c r="B25" t="s">
        <v>52</v>
      </c>
      <c r="C25" s="5">
        <v>4</v>
      </c>
      <c r="D25" s="19">
        <v>1.5</v>
      </c>
      <c r="E25" s="19">
        <v>3</v>
      </c>
      <c r="F25" s="5">
        <v>2</v>
      </c>
    </row>
    <row r="26" spans="1:6" x14ac:dyDescent="0.55000000000000004">
      <c r="A26" s="26" t="s">
        <v>143</v>
      </c>
      <c r="B26" t="s">
        <v>52</v>
      </c>
      <c r="C26" s="5">
        <v>1</v>
      </c>
      <c r="D26" s="19">
        <v>1.5</v>
      </c>
      <c r="E26" s="19">
        <v>3.5</v>
      </c>
      <c r="F26" s="5">
        <v>1</v>
      </c>
    </row>
    <row r="27" spans="1:6" x14ac:dyDescent="0.55000000000000004">
      <c r="A27" s="26" t="s">
        <v>144</v>
      </c>
      <c r="B27" t="s">
        <v>52</v>
      </c>
      <c r="C27" s="5">
        <v>2</v>
      </c>
      <c r="D27" s="19">
        <v>1.5</v>
      </c>
      <c r="E27" s="19">
        <v>3.5</v>
      </c>
      <c r="F27" s="5">
        <v>1</v>
      </c>
    </row>
    <row r="28" spans="1:6" x14ac:dyDescent="0.55000000000000004">
      <c r="A28" s="26" t="s">
        <v>145</v>
      </c>
      <c r="B28" t="s">
        <v>52</v>
      </c>
      <c r="C28" s="5">
        <v>7</v>
      </c>
      <c r="D28" s="19">
        <v>1.5</v>
      </c>
      <c r="E28" s="19">
        <v>3</v>
      </c>
      <c r="F28" s="5">
        <v>4</v>
      </c>
    </row>
    <row r="29" spans="1:6" x14ac:dyDescent="0.55000000000000004">
      <c r="A29" s="26" t="s">
        <v>146</v>
      </c>
      <c r="B29" t="s">
        <v>52</v>
      </c>
      <c r="C29" s="5">
        <v>8</v>
      </c>
      <c r="D29" s="19">
        <v>1.5</v>
      </c>
      <c r="E29" s="19">
        <v>2.5</v>
      </c>
      <c r="F29" s="5">
        <v>4</v>
      </c>
    </row>
    <row r="30" spans="1:6" x14ac:dyDescent="0.55000000000000004">
      <c r="A30" s="26" t="s">
        <v>147</v>
      </c>
      <c r="B30" t="s">
        <v>52</v>
      </c>
      <c r="C30" s="5">
        <v>1</v>
      </c>
      <c r="D30" s="19">
        <v>1.5</v>
      </c>
      <c r="E30" s="19">
        <v>3.5</v>
      </c>
      <c r="F30" s="5">
        <v>1</v>
      </c>
    </row>
    <row r="31" spans="1:6" x14ac:dyDescent="0.55000000000000004">
      <c r="A31" s="26" t="s">
        <v>148</v>
      </c>
      <c r="B31" t="s">
        <v>52</v>
      </c>
      <c r="C31" s="5">
        <v>7</v>
      </c>
      <c r="D31" s="19">
        <v>1.5</v>
      </c>
      <c r="E31" s="19">
        <v>2.5</v>
      </c>
      <c r="F31" s="5">
        <v>4</v>
      </c>
    </row>
    <row r="32" spans="1:6" x14ac:dyDescent="0.55000000000000004">
      <c r="A32" s="26" t="s">
        <v>151</v>
      </c>
      <c r="B32" t="s">
        <v>52</v>
      </c>
      <c r="C32" s="5">
        <v>9</v>
      </c>
      <c r="D32" s="19">
        <v>1.5</v>
      </c>
      <c r="E32" s="19">
        <v>2.5</v>
      </c>
      <c r="F32" s="5">
        <v>5</v>
      </c>
    </row>
    <row r="33" spans="1:6" x14ac:dyDescent="0.55000000000000004">
      <c r="A33" s="26" t="s">
        <v>152</v>
      </c>
      <c r="B33" t="s">
        <v>52</v>
      </c>
      <c r="C33" s="5">
        <v>1</v>
      </c>
      <c r="D33" s="19">
        <v>1.5</v>
      </c>
      <c r="E33" s="19">
        <v>3.5</v>
      </c>
      <c r="F33" s="5">
        <v>1</v>
      </c>
    </row>
    <row r="34" spans="1:6" x14ac:dyDescent="0.55000000000000004">
      <c r="A34" s="26" t="s">
        <v>154</v>
      </c>
      <c r="B34" t="s">
        <v>52</v>
      </c>
      <c r="C34" s="5">
        <v>7</v>
      </c>
      <c r="D34" s="19">
        <v>1.5</v>
      </c>
      <c r="E34" s="19">
        <v>3</v>
      </c>
      <c r="F34" s="5">
        <v>4</v>
      </c>
    </row>
    <row r="35" spans="1:6" x14ac:dyDescent="0.55000000000000004">
      <c r="A35" s="26" t="s">
        <v>155</v>
      </c>
      <c r="B35" t="s">
        <v>52</v>
      </c>
      <c r="C35" s="5">
        <v>6</v>
      </c>
      <c r="D35" s="19">
        <v>1.5</v>
      </c>
      <c r="E35" s="19">
        <v>2.5</v>
      </c>
      <c r="F35" s="5">
        <v>3</v>
      </c>
    </row>
    <row r="36" spans="1:6" x14ac:dyDescent="0.55000000000000004">
      <c r="A36" s="26" t="s">
        <v>156</v>
      </c>
      <c r="B36" t="s">
        <v>52</v>
      </c>
      <c r="C36" s="5">
        <v>1</v>
      </c>
      <c r="D36" s="19">
        <v>1.5</v>
      </c>
      <c r="E36" s="19">
        <v>3.5</v>
      </c>
      <c r="F36" s="5">
        <v>1</v>
      </c>
    </row>
    <row r="37" spans="1:6" x14ac:dyDescent="0.55000000000000004">
      <c r="A37" s="26" t="s">
        <v>158</v>
      </c>
      <c r="B37" t="s">
        <v>52</v>
      </c>
      <c r="C37" s="5">
        <v>9</v>
      </c>
      <c r="D37" s="19">
        <v>1.5</v>
      </c>
      <c r="E37" s="19">
        <v>2.5</v>
      </c>
      <c r="F37" s="5">
        <v>5</v>
      </c>
    </row>
    <row r="38" spans="1:6" x14ac:dyDescent="0.55000000000000004">
      <c r="A38" s="26" t="s">
        <v>163</v>
      </c>
      <c r="B38" t="s">
        <v>52</v>
      </c>
      <c r="C38" s="5">
        <v>2</v>
      </c>
      <c r="D38" s="19">
        <v>1.5</v>
      </c>
      <c r="E38" s="19">
        <v>3.5</v>
      </c>
      <c r="F38" s="5">
        <v>1</v>
      </c>
    </row>
    <row r="39" spans="1:6" x14ac:dyDescent="0.55000000000000004">
      <c r="A39" s="26" t="s">
        <v>167</v>
      </c>
      <c r="B39" t="s">
        <v>52</v>
      </c>
      <c r="C39" s="5">
        <v>6</v>
      </c>
      <c r="D39" s="19">
        <v>1.5</v>
      </c>
      <c r="E39" s="19">
        <v>2.5</v>
      </c>
      <c r="F39" s="5">
        <v>3</v>
      </c>
    </row>
    <row r="40" spans="1:6" x14ac:dyDescent="0.55000000000000004">
      <c r="A40" s="26" t="s">
        <v>170</v>
      </c>
      <c r="B40" t="s">
        <v>52</v>
      </c>
      <c r="C40" s="5">
        <v>1</v>
      </c>
      <c r="D40" s="19">
        <v>1.5</v>
      </c>
      <c r="E40" s="19">
        <v>3.5</v>
      </c>
      <c r="F40" s="5">
        <v>1</v>
      </c>
    </row>
    <row r="41" spans="1:6" x14ac:dyDescent="0.55000000000000004">
      <c r="A41" s="26" t="s">
        <v>171</v>
      </c>
      <c r="B41" t="s">
        <v>52</v>
      </c>
      <c r="C41" s="5">
        <v>6</v>
      </c>
      <c r="D41" s="19">
        <v>1.5</v>
      </c>
      <c r="E41" s="19">
        <v>3</v>
      </c>
      <c r="F41" s="5">
        <v>3</v>
      </c>
    </row>
    <row r="42" spans="1:6" x14ac:dyDescent="0.55000000000000004">
      <c r="A42" s="26" t="s">
        <v>173</v>
      </c>
      <c r="B42" t="s">
        <v>52</v>
      </c>
      <c r="C42" s="5">
        <v>4</v>
      </c>
      <c r="D42" s="19">
        <v>1.5</v>
      </c>
      <c r="E42" s="19">
        <v>3</v>
      </c>
      <c r="F42" s="5">
        <v>2</v>
      </c>
    </row>
    <row r="43" spans="1:6" x14ac:dyDescent="0.55000000000000004">
      <c r="A43" s="26" t="s">
        <v>175</v>
      </c>
      <c r="B43" t="s">
        <v>52</v>
      </c>
      <c r="C43" s="5">
        <v>9</v>
      </c>
      <c r="D43" s="19">
        <v>1.5</v>
      </c>
      <c r="E43" s="19">
        <v>2.5</v>
      </c>
      <c r="F43" s="5">
        <v>5</v>
      </c>
    </row>
    <row r="44" spans="1:6" x14ac:dyDescent="0.55000000000000004">
      <c r="A44" s="26" t="s">
        <v>176</v>
      </c>
      <c r="B44" t="s">
        <v>52</v>
      </c>
      <c r="C44" s="5">
        <v>2</v>
      </c>
      <c r="D44" s="19">
        <v>1.5</v>
      </c>
      <c r="E44" s="19">
        <v>3.5</v>
      </c>
      <c r="F44" s="5">
        <v>1</v>
      </c>
    </row>
    <row r="45" spans="1:6" x14ac:dyDescent="0.55000000000000004">
      <c r="A45" s="26" t="s">
        <v>178</v>
      </c>
      <c r="B45" t="s">
        <v>52</v>
      </c>
      <c r="C45" s="5">
        <v>1</v>
      </c>
      <c r="D45" s="19">
        <v>1.5</v>
      </c>
      <c r="E45" s="19">
        <v>3.5</v>
      </c>
      <c r="F45" s="5">
        <v>1</v>
      </c>
    </row>
    <row r="46" spans="1:6" x14ac:dyDescent="0.55000000000000004">
      <c r="A46" s="26" t="s">
        <v>179</v>
      </c>
      <c r="B46" t="s">
        <v>52</v>
      </c>
      <c r="C46" s="5">
        <v>9</v>
      </c>
      <c r="D46" s="19">
        <v>1.5</v>
      </c>
      <c r="E46" s="19">
        <v>2.5</v>
      </c>
      <c r="F46" s="5">
        <v>5</v>
      </c>
    </row>
    <row r="47" spans="1:6" x14ac:dyDescent="0.55000000000000004">
      <c r="A47" s="26" t="s">
        <v>180</v>
      </c>
      <c r="B47" t="s">
        <v>52</v>
      </c>
      <c r="C47" s="5">
        <v>1</v>
      </c>
      <c r="D47" s="19">
        <v>1.5</v>
      </c>
      <c r="E47" s="19">
        <v>3.5</v>
      </c>
      <c r="F47" s="5">
        <v>1</v>
      </c>
    </row>
    <row r="48" spans="1:6" x14ac:dyDescent="0.55000000000000004">
      <c r="A48" s="26" t="s">
        <v>182</v>
      </c>
      <c r="B48" t="s">
        <v>52</v>
      </c>
      <c r="C48" s="5">
        <v>2</v>
      </c>
      <c r="D48" s="19">
        <v>1.5</v>
      </c>
      <c r="E48" s="19">
        <v>3.5</v>
      </c>
      <c r="F48" s="5">
        <v>1</v>
      </c>
    </row>
    <row r="49" spans="1:6" x14ac:dyDescent="0.55000000000000004">
      <c r="A49" s="26" t="s">
        <v>183</v>
      </c>
      <c r="B49" t="s">
        <v>52</v>
      </c>
      <c r="C49" s="5">
        <v>7</v>
      </c>
      <c r="D49" s="19">
        <v>1.5</v>
      </c>
      <c r="E49" s="19">
        <v>3</v>
      </c>
      <c r="F49" s="5">
        <v>4</v>
      </c>
    </row>
    <row r="50" spans="1:6" x14ac:dyDescent="0.55000000000000004">
      <c r="A50" s="26" t="s">
        <v>191</v>
      </c>
      <c r="B50" t="s">
        <v>52</v>
      </c>
      <c r="C50" s="5">
        <v>9</v>
      </c>
      <c r="D50" s="19">
        <v>1.5</v>
      </c>
      <c r="E50" s="19">
        <v>2.5</v>
      </c>
      <c r="F50" s="5">
        <v>5</v>
      </c>
    </row>
    <row r="51" spans="1:6" x14ac:dyDescent="0.55000000000000004">
      <c r="A51" s="26" t="s">
        <v>192</v>
      </c>
      <c r="B51" t="s">
        <v>52</v>
      </c>
      <c r="C51" s="5">
        <v>7</v>
      </c>
      <c r="D51" s="19">
        <v>1.5</v>
      </c>
      <c r="E51" s="19">
        <v>3</v>
      </c>
      <c r="F51" s="5">
        <v>4</v>
      </c>
    </row>
    <row r="52" spans="1:6" x14ac:dyDescent="0.55000000000000004">
      <c r="A52" s="26" t="s">
        <v>195</v>
      </c>
      <c r="B52" t="s">
        <v>52</v>
      </c>
      <c r="C52" s="5">
        <v>1</v>
      </c>
      <c r="D52" s="19">
        <v>1.5</v>
      </c>
      <c r="E52" s="19">
        <v>3.5</v>
      </c>
      <c r="F52" s="5">
        <v>1</v>
      </c>
    </row>
    <row r="53" spans="1:6" x14ac:dyDescent="0.55000000000000004">
      <c r="A53" s="26" t="s">
        <v>197</v>
      </c>
      <c r="B53" t="s">
        <v>52</v>
      </c>
      <c r="C53" s="5">
        <v>1</v>
      </c>
      <c r="D53" s="19">
        <v>1.5</v>
      </c>
      <c r="E53" s="19">
        <v>3.5</v>
      </c>
      <c r="F53" s="5">
        <v>1</v>
      </c>
    </row>
    <row r="54" spans="1:6" x14ac:dyDescent="0.55000000000000004">
      <c r="A54" s="26" t="s">
        <v>198</v>
      </c>
      <c r="B54" t="s">
        <v>52</v>
      </c>
      <c r="C54" s="5">
        <v>9</v>
      </c>
      <c r="D54" s="19">
        <v>1.5</v>
      </c>
      <c r="E54" s="19">
        <v>2.5</v>
      </c>
      <c r="F54" s="5">
        <v>5</v>
      </c>
    </row>
    <row r="55" spans="1:6" x14ac:dyDescent="0.55000000000000004">
      <c r="A55" s="26" t="s">
        <v>208</v>
      </c>
      <c r="B55" t="s">
        <v>52</v>
      </c>
      <c r="C55" s="5">
        <v>5</v>
      </c>
      <c r="D55" s="19">
        <v>1.5</v>
      </c>
      <c r="E55" s="19">
        <v>3</v>
      </c>
      <c r="F55" s="5">
        <v>3</v>
      </c>
    </row>
    <row r="56" spans="1:6" x14ac:dyDescent="0.55000000000000004">
      <c r="A56" s="26" t="s">
        <v>209</v>
      </c>
      <c r="B56" t="s">
        <v>52</v>
      </c>
      <c r="C56" s="5">
        <v>6</v>
      </c>
      <c r="D56" s="19">
        <v>1.5</v>
      </c>
      <c r="E56" s="19">
        <v>2.5</v>
      </c>
      <c r="F56" s="5">
        <v>3</v>
      </c>
    </row>
    <row r="57" spans="1:6" x14ac:dyDescent="0.55000000000000004">
      <c r="A57" s="26" t="s">
        <v>211</v>
      </c>
      <c r="B57" t="s">
        <v>52</v>
      </c>
      <c r="C57" s="5">
        <v>2</v>
      </c>
      <c r="D57" s="19">
        <v>1.5</v>
      </c>
      <c r="E57" s="19">
        <v>3.5</v>
      </c>
      <c r="F57" s="5">
        <v>1</v>
      </c>
    </row>
    <row r="58" spans="1:6" x14ac:dyDescent="0.55000000000000004">
      <c r="A58" s="26" t="s">
        <v>216</v>
      </c>
      <c r="B58" t="s">
        <v>52</v>
      </c>
      <c r="C58" s="5">
        <v>6</v>
      </c>
      <c r="D58" s="19">
        <v>1.5</v>
      </c>
      <c r="E58" s="19">
        <v>2.5</v>
      </c>
      <c r="F58" s="5">
        <v>3</v>
      </c>
    </row>
    <row r="59" spans="1:6" x14ac:dyDescent="0.55000000000000004">
      <c r="A59" s="26" t="s">
        <v>219</v>
      </c>
      <c r="B59" t="s">
        <v>52</v>
      </c>
      <c r="C59" s="5">
        <v>5</v>
      </c>
      <c r="D59" s="19">
        <v>1.5</v>
      </c>
      <c r="E59" s="19">
        <v>3</v>
      </c>
      <c r="F59" s="5">
        <v>3</v>
      </c>
    </row>
    <row r="60" spans="1:6" x14ac:dyDescent="0.55000000000000004">
      <c r="A60" s="26" t="s">
        <v>220</v>
      </c>
      <c r="B60" t="s">
        <v>52</v>
      </c>
      <c r="C60" s="5">
        <v>4</v>
      </c>
      <c r="D60" s="19">
        <v>1.5</v>
      </c>
      <c r="E60" s="19">
        <v>3</v>
      </c>
      <c r="F60" s="5">
        <v>2</v>
      </c>
    </row>
    <row r="61" spans="1:6" x14ac:dyDescent="0.55000000000000004">
      <c r="A61" s="26" t="s">
        <v>221</v>
      </c>
      <c r="B61" t="s">
        <v>52</v>
      </c>
      <c r="C61" s="5">
        <v>7</v>
      </c>
      <c r="D61" s="19">
        <v>1.5</v>
      </c>
      <c r="E61" s="19">
        <v>3</v>
      </c>
      <c r="F61" s="5">
        <v>4</v>
      </c>
    </row>
    <row r="62" spans="1:6" x14ac:dyDescent="0.55000000000000004">
      <c r="A62" s="26" t="s">
        <v>105</v>
      </c>
      <c r="B62" t="s">
        <v>25</v>
      </c>
      <c r="C62" s="5">
        <v>1</v>
      </c>
      <c r="D62" s="19">
        <v>1</v>
      </c>
      <c r="E62" s="19">
        <v>2.2999999999999998</v>
      </c>
      <c r="F62" s="5">
        <v>0</v>
      </c>
    </row>
    <row r="63" spans="1:6" x14ac:dyDescent="0.55000000000000004">
      <c r="A63" s="26" t="s">
        <v>106</v>
      </c>
      <c r="B63" t="s">
        <v>25</v>
      </c>
      <c r="C63" s="5">
        <v>7</v>
      </c>
      <c r="D63" s="19">
        <v>1</v>
      </c>
      <c r="E63" s="19">
        <v>2.2999999999999998</v>
      </c>
      <c r="F63" s="5">
        <v>2</v>
      </c>
    </row>
    <row r="64" spans="1:6" x14ac:dyDescent="0.55000000000000004">
      <c r="A64" s="26" t="s">
        <v>110</v>
      </c>
      <c r="B64" t="s">
        <v>25</v>
      </c>
      <c r="C64" s="5">
        <v>2</v>
      </c>
      <c r="D64" s="19">
        <v>1</v>
      </c>
      <c r="E64" s="19">
        <v>2.2999999999999998</v>
      </c>
      <c r="F64" s="5">
        <v>0</v>
      </c>
    </row>
    <row r="65" spans="1:6" x14ac:dyDescent="0.55000000000000004">
      <c r="A65" s="26" t="s">
        <v>112</v>
      </c>
      <c r="B65" t="s">
        <v>25</v>
      </c>
      <c r="C65" s="5">
        <v>9</v>
      </c>
      <c r="D65" s="19">
        <v>1</v>
      </c>
      <c r="E65" s="19">
        <v>2</v>
      </c>
      <c r="F65" s="5">
        <v>2</v>
      </c>
    </row>
    <row r="66" spans="1:6" x14ac:dyDescent="0.55000000000000004">
      <c r="A66" s="26" t="s">
        <v>113</v>
      </c>
      <c r="B66" t="s">
        <v>25</v>
      </c>
      <c r="C66" s="5">
        <v>6</v>
      </c>
      <c r="D66" s="19">
        <v>1</v>
      </c>
      <c r="E66" s="19">
        <v>2</v>
      </c>
      <c r="F66" s="5">
        <v>1</v>
      </c>
    </row>
    <row r="67" spans="1:6" x14ac:dyDescent="0.55000000000000004">
      <c r="A67" s="26" t="s">
        <v>114</v>
      </c>
      <c r="B67" t="s">
        <v>25</v>
      </c>
      <c r="C67" s="5">
        <v>0</v>
      </c>
      <c r="D67" s="19">
        <v>1</v>
      </c>
      <c r="E67" s="19">
        <v>2.2999999999999998</v>
      </c>
      <c r="F67" s="5">
        <v>0</v>
      </c>
    </row>
    <row r="68" spans="1:6" x14ac:dyDescent="0.55000000000000004">
      <c r="A68" s="26" t="s">
        <v>115</v>
      </c>
      <c r="B68" t="s">
        <v>25</v>
      </c>
      <c r="C68" s="5">
        <v>2</v>
      </c>
      <c r="D68" s="19">
        <v>1</v>
      </c>
      <c r="E68" s="19">
        <v>2.2999999999999998</v>
      </c>
      <c r="F68" s="5">
        <v>0</v>
      </c>
    </row>
    <row r="69" spans="1:6" x14ac:dyDescent="0.55000000000000004">
      <c r="A69" s="26" t="s">
        <v>117</v>
      </c>
      <c r="B69" t="s">
        <v>25</v>
      </c>
      <c r="C69" s="5">
        <v>2</v>
      </c>
      <c r="D69" s="19">
        <v>1</v>
      </c>
      <c r="E69" s="19">
        <v>2</v>
      </c>
      <c r="F69" s="5">
        <v>0</v>
      </c>
    </row>
    <row r="70" spans="1:6" x14ac:dyDescent="0.55000000000000004">
      <c r="A70" s="26" t="s">
        <v>118</v>
      </c>
      <c r="B70" t="s">
        <v>25</v>
      </c>
      <c r="C70" s="5">
        <v>4</v>
      </c>
      <c r="D70" s="19">
        <v>1</v>
      </c>
      <c r="E70" s="19">
        <v>2.2999999999999998</v>
      </c>
      <c r="F70" s="5">
        <v>1</v>
      </c>
    </row>
    <row r="71" spans="1:6" x14ac:dyDescent="0.55000000000000004">
      <c r="A71" s="26" t="s">
        <v>127</v>
      </c>
      <c r="B71" t="s">
        <v>25</v>
      </c>
      <c r="C71" s="5">
        <v>2</v>
      </c>
      <c r="D71" s="19">
        <v>1</v>
      </c>
      <c r="E71" s="19">
        <v>2</v>
      </c>
      <c r="F71" s="5">
        <v>0</v>
      </c>
    </row>
    <row r="72" spans="1:6" x14ac:dyDescent="0.55000000000000004">
      <c r="A72" s="26" t="s">
        <v>129</v>
      </c>
      <c r="B72" t="s">
        <v>25</v>
      </c>
      <c r="C72" s="5">
        <v>7</v>
      </c>
      <c r="D72" s="19">
        <v>1</v>
      </c>
      <c r="E72" s="19">
        <v>2.2999999999999998</v>
      </c>
      <c r="F72" s="5">
        <v>2</v>
      </c>
    </row>
    <row r="73" spans="1:6" x14ac:dyDescent="0.55000000000000004">
      <c r="A73" s="26" t="s">
        <v>130</v>
      </c>
      <c r="B73" t="s">
        <v>25</v>
      </c>
      <c r="C73" s="5">
        <v>2</v>
      </c>
      <c r="D73" s="19">
        <v>1</v>
      </c>
      <c r="E73" s="19">
        <v>2</v>
      </c>
      <c r="F73" s="5">
        <v>0</v>
      </c>
    </row>
    <row r="74" spans="1:6" x14ac:dyDescent="0.55000000000000004">
      <c r="A74" s="26" t="s">
        <v>133</v>
      </c>
      <c r="B74" t="s">
        <v>25</v>
      </c>
      <c r="C74" s="5">
        <v>2</v>
      </c>
      <c r="D74" s="19">
        <v>1</v>
      </c>
      <c r="E74" s="19">
        <v>2</v>
      </c>
      <c r="F74" s="5">
        <v>0</v>
      </c>
    </row>
    <row r="75" spans="1:6" x14ac:dyDescent="0.55000000000000004">
      <c r="A75" s="26" t="s">
        <v>136</v>
      </c>
      <c r="B75" t="s">
        <v>25</v>
      </c>
      <c r="C75" s="5">
        <v>8</v>
      </c>
      <c r="D75" s="19">
        <v>1</v>
      </c>
      <c r="E75" s="19">
        <v>2</v>
      </c>
      <c r="F75" s="5">
        <v>2</v>
      </c>
    </row>
    <row r="76" spans="1:6" x14ac:dyDescent="0.55000000000000004">
      <c r="A76" s="26" t="s">
        <v>137</v>
      </c>
      <c r="B76" t="s">
        <v>25</v>
      </c>
      <c r="C76" s="5">
        <v>1</v>
      </c>
      <c r="D76" s="19">
        <v>1</v>
      </c>
      <c r="E76" s="19">
        <v>2.2999999999999998</v>
      </c>
      <c r="F76" s="5">
        <v>0</v>
      </c>
    </row>
    <row r="77" spans="1:6" x14ac:dyDescent="0.55000000000000004">
      <c r="A77" s="26" t="s">
        <v>141</v>
      </c>
      <c r="B77" t="s">
        <v>25</v>
      </c>
      <c r="C77" s="5">
        <v>0</v>
      </c>
      <c r="D77" s="19">
        <v>1</v>
      </c>
      <c r="E77" s="19">
        <v>2</v>
      </c>
      <c r="F77" s="5">
        <v>0</v>
      </c>
    </row>
    <row r="78" spans="1:6" x14ac:dyDescent="0.55000000000000004">
      <c r="A78" s="26" t="s">
        <v>149</v>
      </c>
      <c r="B78" t="s">
        <v>25</v>
      </c>
      <c r="C78" s="5">
        <v>1</v>
      </c>
      <c r="D78" s="19">
        <v>1</v>
      </c>
      <c r="E78" s="19">
        <v>2.2999999999999998</v>
      </c>
      <c r="F78" s="5">
        <v>0</v>
      </c>
    </row>
    <row r="79" spans="1:6" x14ac:dyDescent="0.55000000000000004">
      <c r="A79" s="26" t="s">
        <v>150</v>
      </c>
      <c r="B79" t="s">
        <v>25</v>
      </c>
      <c r="C79" s="5">
        <v>9</v>
      </c>
      <c r="D79" s="19">
        <v>1</v>
      </c>
      <c r="E79" s="19">
        <v>2</v>
      </c>
      <c r="F79" s="5">
        <v>2</v>
      </c>
    </row>
    <row r="80" spans="1:6" x14ac:dyDescent="0.55000000000000004">
      <c r="A80" s="26" t="s">
        <v>153</v>
      </c>
      <c r="B80" t="s">
        <v>25</v>
      </c>
      <c r="C80" s="5">
        <v>7</v>
      </c>
      <c r="D80" s="19">
        <v>1</v>
      </c>
      <c r="E80" s="19">
        <v>2.2999999999999998</v>
      </c>
      <c r="F80" s="5">
        <v>2</v>
      </c>
    </row>
    <row r="81" spans="1:6" x14ac:dyDescent="0.55000000000000004">
      <c r="A81" s="26" t="s">
        <v>157</v>
      </c>
      <c r="B81" t="s">
        <v>25</v>
      </c>
      <c r="C81" s="5">
        <v>10</v>
      </c>
      <c r="D81" s="19">
        <v>1</v>
      </c>
      <c r="E81" s="19">
        <v>2</v>
      </c>
      <c r="F81" s="5">
        <v>2</v>
      </c>
    </row>
    <row r="82" spans="1:6" x14ac:dyDescent="0.55000000000000004">
      <c r="A82" s="26" t="s">
        <v>159</v>
      </c>
      <c r="B82" t="s">
        <v>25</v>
      </c>
      <c r="C82" s="5">
        <v>9</v>
      </c>
      <c r="D82" s="19">
        <v>1</v>
      </c>
      <c r="E82" s="19">
        <v>2</v>
      </c>
      <c r="F82" s="5">
        <v>2</v>
      </c>
    </row>
    <row r="83" spans="1:6" x14ac:dyDescent="0.55000000000000004">
      <c r="A83" s="26" t="s">
        <v>160</v>
      </c>
      <c r="B83" t="s">
        <v>25</v>
      </c>
      <c r="C83" s="5">
        <v>6</v>
      </c>
      <c r="D83" s="19">
        <v>1</v>
      </c>
      <c r="E83" s="19">
        <v>2.2999999999999998</v>
      </c>
      <c r="F83" s="5">
        <v>1</v>
      </c>
    </row>
    <row r="84" spans="1:6" x14ac:dyDescent="0.55000000000000004">
      <c r="A84" s="26" t="s">
        <v>161</v>
      </c>
      <c r="B84" t="s">
        <v>25</v>
      </c>
      <c r="C84" s="5">
        <v>5</v>
      </c>
      <c r="D84" s="19">
        <v>1</v>
      </c>
      <c r="E84" s="19">
        <v>2.2999999999999998</v>
      </c>
      <c r="F84" s="5">
        <v>1</v>
      </c>
    </row>
    <row r="85" spans="1:6" x14ac:dyDescent="0.55000000000000004">
      <c r="A85" s="26" t="s">
        <v>162</v>
      </c>
      <c r="B85" t="s">
        <v>25</v>
      </c>
      <c r="C85" s="5">
        <v>2</v>
      </c>
      <c r="D85" s="19">
        <v>1</v>
      </c>
      <c r="E85" s="19">
        <v>2</v>
      </c>
      <c r="F85" s="5">
        <v>0</v>
      </c>
    </row>
    <row r="86" spans="1:6" x14ac:dyDescent="0.55000000000000004">
      <c r="A86" s="26" t="s">
        <v>164</v>
      </c>
      <c r="B86" t="s">
        <v>25</v>
      </c>
      <c r="C86" s="5">
        <v>6</v>
      </c>
      <c r="D86" s="19">
        <v>1</v>
      </c>
      <c r="E86" s="19">
        <v>2.2999999999999998</v>
      </c>
      <c r="F86" s="5">
        <v>1</v>
      </c>
    </row>
    <row r="87" spans="1:6" x14ac:dyDescent="0.55000000000000004">
      <c r="A87" s="26" t="s">
        <v>165</v>
      </c>
      <c r="B87" t="s">
        <v>25</v>
      </c>
      <c r="C87" s="5">
        <v>0</v>
      </c>
      <c r="D87" s="19">
        <v>1</v>
      </c>
      <c r="E87" s="19">
        <v>2.2999999999999998</v>
      </c>
      <c r="F87" s="5">
        <v>0</v>
      </c>
    </row>
    <row r="88" spans="1:6" x14ac:dyDescent="0.55000000000000004">
      <c r="A88" s="26" t="s">
        <v>166</v>
      </c>
      <c r="B88" t="s">
        <v>25</v>
      </c>
      <c r="C88" s="5">
        <v>4</v>
      </c>
      <c r="D88" s="19">
        <v>1</v>
      </c>
      <c r="E88" s="19">
        <v>2.2999999999999998</v>
      </c>
      <c r="F88" s="5">
        <v>1</v>
      </c>
    </row>
    <row r="89" spans="1:6" x14ac:dyDescent="0.55000000000000004">
      <c r="A89" s="26" t="s">
        <v>168</v>
      </c>
      <c r="B89" t="s">
        <v>25</v>
      </c>
      <c r="C89" s="5">
        <v>7</v>
      </c>
      <c r="D89" s="19">
        <v>1</v>
      </c>
      <c r="E89" s="19">
        <v>2.2999999999999998</v>
      </c>
      <c r="F89" s="5">
        <v>2</v>
      </c>
    </row>
    <row r="90" spans="1:6" x14ac:dyDescent="0.55000000000000004">
      <c r="A90" s="26" t="s">
        <v>169</v>
      </c>
      <c r="B90" t="s">
        <v>25</v>
      </c>
      <c r="C90" s="5">
        <v>6</v>
      </c>
      <c r="D90" s="19">
        <v>1</v>
      </c>
      <c r="E90" s="19">
        <v>2.2999999999999998</v>
      </c>
      <c r="F90" s="5">
        <v>1</v>
      </c>
    </row>
    <row r="91" spans="1:6" x14ac:dyDescent="0.55000000000000004">
      <c r="A91" s="26" t="s">
        <v>172</v>
      </c>
      <c r="B91" t="s">
        <v>25</v>
      </c>
      <c r="C91" s="5">
        <v>5</v>
      </c>
      <c r="D91" s="19">
        <v>1</v>
      </c>
      <c r="E91" s="19">
        <v>2</v>
      </c>
      <c r="F91" s="5">
        <v>1</v>
      </c>
    </row>
    <row r="92" spans="1:6" x14ac:dyDescent="0.55000000000000004">
      <c r="A92" s="26" t="s">
        <v>174</v>
      </c>
      <c r="B92" t="s">
        <v>25</v>
      </c>
      <c r="C92" s="5">
        <v>7</v>
      </c>
      <c r="D92" s="19">
        <v>1</v>
      </c>
      <c r="E92" s="19">
        <v>2.2999999999999998</v>
      </c>
      <c r="F92" s="5">
        <v>2</v>
      </c>
    </row>
    <row r="93" spans="1:6" x14ac:dyDescent="0.55000000000000004">
      <c r="A93" s="26" t="s">
        <v>177</v>
      </c>
      <c r="B93" t="s">
        <v>25</v>
      </c>
      <c r="C93" s="5">
        <v>2</v>
      </c>
      <c r="D93" s="19">
        <v>1</v>
      </c>
      <c r="E93" s="19">
        <v>2.2999999999999998</v>
      </c>
      <c r="F93" s="5">
        <v>0</v>
      </c>
    </row>
    <row r="94" spans="1:6" x14ac:dyDescent="0.55000000000000004">
      <c r="A94" s="26" t="s">
        <v>181</v>
      </c>
      <c r="B94" t="s">
        <v>25</v>
      </c>
      <c r="C94" s="5">
        <v>10</v>
      </c>
      <c r="D94" s="19">
        <v>1</v>
      </c>
      <c r="E94" s="19">
        <v>2</v>
      </c>
      <c r="F94" s="5">
        <v>2</v>
      </c>
    </row>
    <row r="95" spans="1:6" x14ac:dyDescent="0.55000000000000004">
      <c r="A95" s="26" t="s">
        <v>184</v>
      </c>
      <c r="B95" t="s">
        <v>25</v>
      </c>
      <c r="C95" s="5">
        <v>1</v>
      </c>
      <c r="D95" s="19">
        <v>1</v>
      </c>
      <c r="E95" s="19">
        <v>2.2999999999999998</v>
      </c>
      <c r="F95" s="5">
        <v>0</v>
      </c>
    </row>
    <row r="96" spans="1:6" x14ac:dyDescent="0.55000000000000004">
      <c r="A96" s="26" t="s">
        <v>185</v>
      </c>
      <c r="B96" t="s">
        <v>25</v>
      </c>
      <c r="C96" s="5">
        <v>6</v>
      </c>
      <c r="D96" s="19">
        <v>1</v>
      </c>
      <c r="E96" s="19">
        <v>2.2999999999999998</v>
      </c>
      <c r="F96" s="5">
        <v>1</v>
      </c>
    </row>
    <row r="97" spans="1:6" x14ac:dyDescent="0.55000000000000004">
      <c r="A97" s="26" t="s">
        <v>186</v>
      </c>
      <c r="B97" t="s">
        <v>25</v>
      </c>
      <c r="C97" s="5">
        <v>6</v>
      </c>
      <c r="D97" s="19">
        <v>1</v>
      </c>
      <c r="E97" s="19">
        <v>2.2999999999999998</v>
      </c>
      <c r="F97" s="5">
        <v>1</v>
      </c>
    </row>
    <row r="98" spans="1:6" x14ac:dyDescent="0.55000000000000004">
      <c r="A98" s="26" t="s">
        <v>187</v>
      </c>
      <c r="B98" t="s">
        <v>25</v>
      </c>
      <c r="C98" s="5">
        <v>0</v>
      </c>
      <c r="D98" s="19">
        <v>1</v>
      </c>
      <c r="E98" s="19">
        <v>2</v>
      </c>
      <c r="F98" s="5">
        <v>0</v>
      </c>
    </row>
    <row r="99" spans="1:6" x14ac:dyDescent="0.55000000000000004">
      <c r="A99" s="26" t="s">
        <v>188</v>
      </c>
      <c r="B99" t="s">
        <v>25</v>
      </c>
      <c r="C99" s="5">
        <v>9</v>
      </c>
      <c r="D99" s="19">
        <v>1</v>
      </c>
      <c r="E99" s="19">
        <v>2</v>
      </c>
      <c r="F99" s="5">
        <v>2</v>
      </c>
    </row>
    <row r="100" spans="1:6" x14ac:dyDescent="0.55000000000000004">
      <c r="A100" s="26" t="s">
        <v>189</v>
      </c>
      <c r="B100" t="s">
        <v>25</v>
      </c>
      <c r="C100" s="5">
        <v>2</v>
      </c>
      <c r="D100" s="19">
        <v>1</v>
      </c>
      <c r="E100" s="19">
        <v>2</v>
      </c>
      <c r="F100" s="5">
        <v>0</v>
      </c>
    </row>
    <row r="101" spans="1:6" x14ac:dyDescent="0.55000000000000004">
      <c r="A101" s="26" t="s">
        <v>190</v>
      </c>
      <c r="B101" t="s">
        <v>25</v>
      </c>
      <c r="C101" s="5">
        <v>3</v>
      </c>
      <c r="D101" s="19">
        <v>1</v>
      </c>
      <c r="E101" s="19">
        <v>2.2999999999999998</v>
      </c>
      <c r="F101" s="5">
        <v>1</v>
      </c>
    </row>
    <row r="102" spans="1:6" x14ac:dyDescent="0.55000000000000004">
      <c r="A102" s="26" t="s">
        <v>193</v>
      </c>
      <c r="B102" t="s">
        <v>25</v>
      </c>
      <c r="C102" s="5">
        <v>2</v>
      </c>
      <c r="D102" s="19">
        <v>1</v>
      </c>
      <c r="E102" s="19">
        <v>2.2999999999999998</v>
      </c>
      <c r="F102" s="5">
        <v>0</v>
      </c>
    </row>
    <row r="103" spans="1:6" x14ac:dyDescent="0.55000000000000004">
      <c r="A103" s="26" t="s">
        <v>194</v>
      </c>
      <c r="B103" t="s">
        <v>25</v>
      </c>
      <c r="C103" s="5">
        <v>4</v>
      </c>
      <c r="D103" s="19">
        <v>1</v>
      </c>
      <c r="E103" s="19">
        <v>2</v>
      </c>
      <c r="F103" s="5">
        <v>1</v>
      </c>
    </row>
    <row r="104" spans="1:6" x14ac:dyDescent="0.55000000000000004">
      <c r="A104" s="26" t="s">
        <v>196</v>
      </c>
      <c r="B104" t="s">
        <v>25</v>
      </c>
      <c r="C104" s="5">
        <v>6</v>
      </c>
      <c r="D104" s="19">
        <v>1</v>
      </c>
      <c r="E104" s="19">
        <v>2</v>
      </c>
      <c r="F104" s="5">
        <v>1</v>
      </c>
    </row>
    <row r="105" spans="1:6" x14ac:dyDescent="0.55000000000000004">
      <c r="A105" s="26" t="s">
        <v>199</v>
      </c>
      <c r="B105" t="s">
        <v>25</v>
      </c>
      <c r="C105" s="5">
        <v>5</v>
      </c>
      <c r="D105" s="19">
        <v>1</v>
      </c>
      <c r="E105" s="19">
        <v>2</v>
      </c>
      <c r="F105" s="5">
        <v>1</v>
      </c>
    </row>
    <row r="106" spans="1:6" x14ac:dyDescent="0.55000000000000004">
      <c r="A106" s="26" t="s">
        <v>200</v>
      </c>
      <c r="B106" t="s">
        <v>25</v>
      </c>
      <c r="C106" s="5">
        <v>10</v>
      </c>
      <c r="D106" s="19">
        <v>1</v>
      </c>
      <c r="E106" s="19">
        <v>2</v>
      </c>
      <c r="F106" s="5">
        <v>2</v>
      </c>
    </row>
    <row r="107" spans="1:6" x14ac:dyDescent="0.55000000000000004">
      <c r="A107" s="26" t="s">
        <v>201</v>
      </c>
      <c r="B107" t="s">
        <v>25</v>
      </c>
      <c r="C107" s="5">
        <v>4</v>
      </c>
      <c r="D107" s="19">
        <v>1</v>
      </c>
      <c r="E107" s="19">
        <v>2.2999999999999998</v>
      </c>
      <c r="F107" s="5">
        <v>1</v>
      </c>
    </row>
    <row r="108" spans="1:6" x14ac:dyDescent="0.55000000000000004">
      <c r="A108" s="26" t="s">
        <v>202</v>
      </c>
      <c r="B108" t="s">
        <v>25</v>
      </c>
      <c r="C108" s="5">
        <v>5</v>
      </c>
      <c r="D108" s="19">
        <v>1</v>
      </c>
      <c r="E108" s="19">
        <v>2</v>
      </c>
      <c r="F108" s="5">
        <v>1</v>
      </c>
    </row>
    <row r="109" spans="1:6" x14ac:dyDescent="0.55000000000000004">
      <c r="A109" s="26" t="s">
        <v>203</v>
      </c>
      <c r="B109" t="s">
        <v>25</v>
      </c>
      <c r="C109" s="5">
        <v>3</v>
      </c>
      <c r="D109" s="19">
        <v>1</v>
      </c>
      <c r="E109" s="19">
        <v>2.2999999999999998</v>
      </c>
      <c r="F109" s="5">
        <v>1</v>
      </c>
    </row>
    <row r="110" spans="1:6" x14ac:dyDescent="0.55000000000000004">
      <c r="A110" s="26" t="s">
        <v>204</v>
      </c>
      <c r="B110" t="s">
        <v>25</v>
      </c>
      <c r="C110" s="5">
        <v>9</v>
      </c>
      <c r="D110" s="19">
        <v>1</v>
      </c>
      <c r="E110" s="19">
        <v>2</v>
      </c>
      <c r="F110" s="5">
        <v>2</v>
      </c>
    </row>
    <row r="111" spans="1:6" x14ac:dyDescent="0.55000000000000004">
      <c r="A111" s="26" t="s">
        <v>205</v>
      </c>
      <c r="B111" t="s">
        <v>25</v>
      </c>
      <c r="C111" s="5">
        <v>10</v>
      </c>
      <c r="D111" s="19">
        <v>1</v>
      </c>
      <c r="E111" s="19">
        <v>2</v>
      </c>
      <c r="F111" s="5">
        <v>2</v>
      </c>
    </row>
    <row r="112" spans="1:6" x14ac:dyDescent="0.55000000000000004">
      <c r="A112" s="26" t="s">
        <v>206</v>
      </c>
      <c r="B112" t="s">
        <v>25</v>
      </c>
      <c r="C112" s="5">
        <v>0</v>
      </c>
      <c r="D112" s="19">
        <v>1</v>
      </c>
      <c r="E112" s="19">
        <v>2.2999999999999998</v>
      </c>
      <c r="F112" s="5">
        <v>0</v>
      </c>
    </row>
    <row r="113" spans="1:6" x14ac:dyDescent="0.55000000000000004">
      <c r="A113" s="26" t="s">
        <v>207</v>
      </c>
      <c r="B113" t="s">
        <v>25</v>
      </c>
      <c r="C113" s="5">
        <v>3</v>
      </c>
      <c r="D113" s="19">
        <v>1</v>
      </c>
      <c r="E113" s="19">
        <v>2</v>
      </c>
      <c r="F113" s="5">
        <v>1</v>
      </c>
    </row>
    <row r="114" spans="1:6" x14ac:dyDescent="0.55000000000000004">
      <c r="A114" s="26" t="s">
        <v>210</v>
      </c>
      <c r="B114" t="s">
        <v>25</v>
      </c>
      <c r="C114" s="5">
        <v>7</v>
      </c>
      <c r="D114" s="19">
        <v>1</v>
      </c>
      <c r="E114" s="19">
        <v>2.2999999999999998</v>
      </c>
      <c r="F114" s="5">
        <v>2</v>
      </c>
    </row>
    <row r="115" spans="1:6" x14ac:dyDescent="0.55000000000000004">
      <c r="A115" s="26" t="s">
        <v>212</v>
      </c>
      <c r="B115" t="s">
        <v>25</v>
      </c>
      <c r="C115" s="5">
        <v>10</v>
      </c>
      <c r="D115" s="19">
        <v>1</v>
      </c>
      <c r="E115" s="19">
        <v>2</v>
      </c>
      <c r="F115" s="5">
        <v>2</v>
      </c>
    </row>
    <row r="116" spans="1:6" x14ac:dyDescent="0.55000000000000004">
      <c r="A116" s="26" t="s">
        <v>213</v>
      </c>
      <c r="B116" t="s">
        <v>25</v>
      </c>
      <c r="C116" s="5">
        <v>2</v>
      </c>
      <c r="D116" s="19">
        <v>1</v>
      </c>
      <c r="E116" s="19">
        <v>2</v>
      </c>
      <c r="F116" s="5">
        <v>0</v>
      </c>
    </row>
    <row r="117" spans="1:6" x14ac:dyDescent="0.55000000000000004">
      <c r="A117" s="26" t="s">
        <v>214</v>
      </c>
      <c r="B117" t="s">
        <v>25</v>
      </c>
      <c r="C117" s="5">
        <v>6</v>
      </c>
      <c r="D117" s="19">
        <v>1</v>
      </c>
      <c r="E117" s="19">
        <v>2.2999999999999998</v>
      </c>
      <c r="F117" s="5">
        <v>1</v>
      </c>
    </row>
    <row r="118" spans="1:6" x14ac:dyDescent="0.55000000000000004">
      <c r="A118" s="26" t="s">
        <v>215</v>
      </c>
      <c r="B118" t="s">
        <v>25</v>
      </c>
      <c r="C118" s="5">
        <v>1</v>
      </c>
      <c r="D118" s="19">
        <v>1</v>
      </c>
      <c r="E118" s="19">
        <v>2.2999999999999998</v>
      </c>
      <c r="F118" s="5">
        <v>0</v>
      </c>
    </row>
    <row r="119" spans="1:6" x14ac:dyDescent="0.55000000000000004">
      <c r="A119" s="26" t="s">
        <v>217</v>
      </c>
      <c r="B119" t="s">
        <v>25</v>
      </c>
      <c r="C119" s="5">
        <v>2</v>
      </c>
      <c r="D119" s="19">
        <v>1</v>
      </c>
      <c r="E119" s="19">
        <v>2</v>
      </c>
      <c r="F119" s="5">
        <v>0</v>
      </c>
    </row>
    <row r="120" spans="1:6" x14ac:dyDescent="0.55000000000000004">
      <c r="A120" s="26" t="s">
        <v>218</v>
      </c>
      <c r="B120" t="s">
        <v>25</v>
      </c>
      <c r="C120" s="5">
        <v>4</v>
      </c>
      <c r="D120" s="19">
        <v>1</v>
      </c>
      <c r="E120" s="19">
        <v>2</v>
      </c>
      <c r="F120" s="5">
        <v>1</v>
      </c>
    </row>
  </sheetData>
  <sortState xmlns:xlrd2="http://schemas.microsoft.com/office/spreadsheetml/2017/richdata2" ref="A3:F120">
    <sortCondition descending="1" ref="B3:B120"/>
  </sortState>
  <mergeCells count="1">
    <mergeCell ref="A1:F1"/>
  </mergeCells>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936AD-7ACE-4891-A0EA-90B0BBB215B0}">
  <sheetPr>
    <tabColor rgb="FF00B0F0"/>
  </sheetPr>
  <dimension ref="A1:I122"/>
  <sheetViews>
    <sheetView zoomScale="86" zoomScaleNormal="100" workbookViewId="0">
      <selection activeCell="K7" sqref="K7"/>
    </sheetView>
  </sheetViews>
  <sheetFormatPr defaultRowHeight="14.4" x14ac:dyDescent="0.55000000000000004"/>
  <cols>
    <col min="1" max="1" width="17.89453125" customWidth="1"/>
    <col min="2" max="4" width="13.7890625" customWidth="1"/>
    <col min="5" max="5" width="17.41796875" customWidth="1"/>
    <col min="6" max="6" width="15.7890625" customWidth="1"/>
    <col min="7" max="7" width="14.3125" customWidth="1"/>
    <col min="8" max="8" width="8.7890625" customWidth="1"/>
    <col min="11" max="11" width="13.5234375" customWidth="1"/>
    <col min="12" max="12" width="12.7890625" bestFit="1" customWidth="1"/>
    <col min="13" max="14" width="26.1015625" customWidth="1"/>
    <col min="15" max="15" width="18" customWidth="1"/>
  </cols>
  <sheetData>
    <row r="1" spans="1:9" ht="15.6" x14ac:dyDescent="0.6">
      <c r="A1" s="59" t="s">
        <v>102</v>
      </c>
      <c r="B1" s="59"/>
      <c r="C1" s="59"/>
      <c r="D1" s="59"/>
      <c r="E1" s="59"/>
      <c r="F1" s="59"/>
      <c r="G1" s="59"/>
    </row>
    <row r="2" spans="1:9" x14ac:dyDescent="0.55000000000000004">
      <c r="A2" s="4" t="s">
        <v>103</v>
      </c>
      <c r="B2" s="4" t="s">
        <v>27</v>
      </c>
      <c r="C2" s="4" t="s">
        <v>56</v>
      </c>
      <c r="D2" s="4" t="s">
        <v>31</v>
      </c>
      <c r="E2" s="4" t="s">
        <v>28</v>
      </c>
      <c r="F2" s="4" t="s">
        <v>29</v>
      </c>
      <c r="G2" s="4" t="s">
        <v>30</v>
      </c>
      <c r="H2" s="4"/>
    </row>
    <row r="3" spans="1:9" x14ac:dyDescent="0.55000000000000004">
      <c r="A3" s="23">
        <v>1</v>
      </c>
      <c r="B3" s="5">
        <v>3</v>
      </c>
      <c r="C3" s="5" t="s">
        <v>86</v>
      </c>
      <c r="D3" s="5">
        <v>2</v>
      </c>
      <c r="E3" s="5">
        <v>5</v>
      </c>
      <c r="F3" s="5">
        <v>5</v>
      </c>
      <c r="G3" s="5">
        <v>2</v>
      </c>
      <c r="H3" s="5"/>
    </row>
    <row r="4" spans="1:9" x14ac:dyDescent="0.55000000000000004">
      <c r="A4" s="23">
        <v>2</v>
      </c>
      <c r="B4" s="5">
        <v>3</v>
      </c>
      <c r="C4" s="5" t="s">
        <v>86</v>
      </c>
      <c r="D4" s="5">
        <v>2</v>
      </c>
      <c r="E4" s="5">
        <v>7</v>
      </c>
      <c r="F4" s="5">
        <v>5</v>
      </c>
      <c r="G4" s="5">
        <v>1</v>
      </c>
      <c r="H4" s="5"/>
    </row>
    <row r="5" spans="1:9" x14ac:dyDescent="0.55000000000000004">
      <c r="A5" s="23">
        <v>3</v>
      </c>
      <c r="B5" s="5">
        <v>5</v>
      </c>
      <c r="C5" s="5" t="s">
        <v>53</v>
      </c>
      <c r="D5" s="5">
        <v>4</v>
      </c>
      <c r="E5" s="5">
        <v>3</v>
      </c>
      <c r="F5" s="5">
        <v>5</v>
      </c>
      <c r="G5" s="5">
        <v>4</v>
      </c>
      <c r="H5" s="5"/>
    </row>
    <row r="6" spans="1:9" x14ac:dyDescent="0.55000000000000004">
      <c r="A6" s="23">
        <v>4</v>
      </c>
      <c r="B6" s="5">
        <v>2</v>
      </c>
      <c r="C6" s="5" t="s">
        <v>53</v>
      </c>
      <c r="D6" s="5">
        <v>5</v>
      </c>
      <c r="E6" s="5">
        <v>4</v>
      </c>
      <c r="F6" s="5">
        <v>5</v>
      </c>
      <c r="G6" s="5">
        <v>4</v>
      </c>
      <c r="H6" s="5"/>
    </row>
    <row r="7" spans="1:9" x14ac:dyDescent="0.55000000000000004">
      <c r="A7" s="23">
        <v>5</v>
      </c>
      <c r="B7" s="5">
        <v>3</v>
      </c>
      <c r="C7" s="5" t="s">
        <v>53</v>
      </c>
      <c r="D7" s="5">
        <v>3</v>
      </c>
      <c r="E7" s="5">
        <v>6</v>
      </c>
      <c r="F7" s="5">
        <v>5</v>
      </c>
      <c r="G7" s="5">
        <v>2</v>
      </c>
      <c r="H7" s="5"/>
    </row>
    <row r="8" spans="1:9" x14ac:dyDescent="0.55000000000000004">
      <c r="A8" s="23">
        <v>6</v>
      </c>
      <c r="B8" s="5">
        <v>3</v>
      </c>
      <c r="C8" s="5" t="s">
        <v>93</v>
      </c>
      <c r="D8" s="5">
        <v>5</v>
      </c>
      <c r="E8" s="5">
        <v>5</v>
      </c>
      <c r="F8" s="5">
        <v>6</v>
      </c>
      <c r="G8" s="5">
        <v>5</v>
      </c>
      <c r="H8" s="5"/>
      <c r="I8" s="13"/>
    </row>
    <row r="9" spans="1:9" x14ac:dyDescent="0.55000000000000004">
      <c r="A9" s="23">
        <v>7</v>
      </c>
      <c r="B9" s="5">
        <v>1</v>
      </c>
      <c r="C9" s="5" t="s">
        <v>53</v>
      </c>
      <c r="D9" s="5">
        <v>7</v>
      </c>
      <c r="E9" s="5">
        <v>3</v>
      </c>
      <c r="F9" s="5">
        <v>1</v>
      </c>
      <c r="G9" s="5">
        <v>7</v>
      </c>
      <c r="H9" s="5"/>
    </row>
    <row r="10" spans="1:9" x14ac:dyDescent="0.55000000000000004">
      <c r="A10" s="23">
        <v>8</v>
      </c>
      <c r="B10" s="5">
        <v>3</v>
      </c>
      <c r="C10" s="5" t="s">
        <v>86</v>
      </c>
      <c r="D10" s="5">
        <v>2</v>
      </c>
      <c r="E10" s="5">
        <v>6</v>
      </c>
      <c r="F10" s="5">
        <v>3</v>
      </c>
      <c r="G10" s="5">
        <v>2</v>
      </c>
      <c r="H10" s="5"/>
    </row>
    <row r="11" spans="1:9" x14ac:dyDescent="0.55000000000000004">
      <c r="A11" s="23">
        <v>9</v>
      </c>
      <c r="B11" s="5">
        <v>7</v>
      </c>
      <c r="C11" s="5" t="s">
        <v>53</v>
      </c>
      <c r="D11" s="5">
        <v>3</v>
      </c>
      <c r="E11" s="5">
        <v>7</v>
      </c>
      <c r="F11" s="5">
        <v>5</v>
      </c>
      <c r="G11" s="5">
        <v>3</v>
      </c>
      <c r="H11" s="5"/>
    </row>
    <row r="12" spans="1:9" x14ac:dyDescent="0.55000000000000004">
      <c r="A12" s="23">
        <v>10</v>
      </c>
      <c r="B12" s="5">
        <v>3</v>
      </c>
      <c r="C12" s="5" t="s">
        <v>53</v>
      </c>
      <c r="D12" s="5">
        <v>1</v>
      </c>
      <c r="E12" s="5">
        <v>5</v>
      </c>
      <c r="F12" s="5">
        <v>3</v>
      </c>
      <c r="G12" s="5">
        <v>2</v>
      </c>
      <c r="H12" s="5"/>
    </row>
    <row r="13" spans="1:9" x14ac:dyDescent="0.55000000000000004">
      <c r="A13" s="23">
        <v>11</v>
      </c>
      <c r="B13" s="5">
        <v>4</v>
      </c>
      <c r="C13" s="5" t="s">
        <v>53</v>
      </c>
      <c r="D13" s="5">
        <v>3</v>
      </c>
      <c r="E13" s="5">
        <v>5</v>
      </c>
      <c r="F13" s="5">
        <v>6</v>
      </c>
      <c r="G13" s="5">
        <v>4</v>
      </c>
      <c r="H13" s="5"/>
    </row>
    <row r="14" spans="1:9" x14ac:dyDescent="0.55000000000000004">
      <c r="A14" s="23">
        <v>12</v>
      </c>
      <c r="B14" s="5">
        <v>2</v>
      </c>
      <c r="C14" s="5" t="s">
        <v>86</v>
      </c>
      <c r="D14" s="5">
        <v>3</v>
      </c>
      <c r="E14" s="5">
        <v>3</v>
      </c>
      <c r="F14" s="5">
        <v>7</v>
      </c>
      <c r="G14" s="5">
        <v>5</v>
      </c>
      <c r="H14" s="5"/>
      <c r="I14" s="13"/>
    </row>
    <row r="15" spans="1:9" x14ac:dyDescent="0.55000000000000004">
      <c r="A15" s="23">
        <v>13</v>
      </c>
      <c r="B15" s="5">
        <v>5</v>
      </c>
      <c r="C15" s="5" t="s">
        <v>53</v>
      </c>
      <c r="D15" s="5">
        <v>7</v>
      </c>
      <c r="E15" s="5">
        <v>2</v>
      </c>
      <c r="F15" s="5">
        <v>3</v>
      </c>
      <c r="G15" s="5">
        <v>7</v>
      </c>
      <c r="H15" s="5"/>
    </row>
    <row r="16" spans="1:9" x14ac:dyDescent="0.55000000000000004">
      <c r="A16" s="23">
        <v>14</v>
      </c>
      <c r="B16" s="5">
        <v>3</v>
      </c>
      <c r="C16" s="5" t="s">
        <v>86</v>
      </c>
      <c r="D16" s="5">
        <v>4</v>
      </c>
      <c r="E16" s="5">
        <v>3</v>
      </c>
      <c r="F16" s="5">
        <v>7</v>
      </c>
      <c r="G16" s="5">
        <v>5</v>
      </c>
      <c r="H16" s="5"/>
    </row>
    <row r="17" spans="1:9" x14ac:dyDescent="0.55000000000000004">
      <c r="A17" s="23">
        <v>15</v>
      </c>
      <c r="B17" s="5">
        <v>3</v>
      </c>
      <c r="C17" s="5" t="s">
        <v>53</v>
      </c>
      <c r="D17" s="5">
        <v>4</v>
      </c>
      <c r="E17" s="5">
        <v>5</v>
      </c>
      <c r="F17" s="5">
        <v>6</v>
      </c>
      <c r="G17" s="5">
        <v>5</v>
      </c>
      <c r="H17" s="5"/>
    </row>
    <row r="18" spans="1:9" x14ac:dyDescent="0.55000000000000004">
      <c r="A18" s="23">
        <v>16</v>
      </c>
      <c r="B18" s="5">
        <v>2</v>
      </c>
      <c r="C18" s="5" t="s">
        <v>53</v>
      </c>
      <c r="D18" s="5">
        <v>1</v>
      </c>
      <c r="E18" s="5">
        <v>5</v>
      </c>
      <c r="F18" s="5">
        <v>5</v>
      </c>
      <c r="G18" s="5">
        <v>1</v>
      </c>
      <c r="H18" s="5"/>
    </row>
    <row r="19" spans="1:9" x14ac:dyDescent="0.55000000000000004">
      <c r="A19" s="23">
        <v>17</v>
      </c>
      <c r="B19" s="5">
        <v>3</v>
      </c>
      <c r="C19" s="5" t="s">
        <v>53</v>
      </c>
      <c r="D19" s="5">
        <v>5</v>
      </c>
      <c r="E19" s="5">
        <v>4</v>
      </c>
      <c r="F19" s="5">
        <v>7</v>
      </c>
      <c r="G19" s="5">
        <v>5</v>
      </c>
      <c r="H19" s="5"/>
    </row>
    <row r="20" spans="1:9" x14ac:dyDescent="0.55000000000000004">
      <c r="A20" s="23">
        <v>18</v>
      </c>
      <c r="B20" s="5">
        <v>7</v>
      </c>
      <c r="C20" s="5" t="s">
        <v>53</v>
      </c>
      <c r="D20" s="5">
        <v>4</v>
      </c>
      <c r="E20" s="5">
        <v>4</v>
      </c>
      <c r="F20" s="5">
        <v>6</v>
      </c>
      <c r="G20" s="5">
        <v>5</v>
      </c>
      <c r="H20" s="5"/>
      <c r="I20" s="13"/>
    </row>
    <row r="21" spans="1:9" x14ac:dyDescent="0.55000000000000004">
      <c r="A21" s="23">
        <v>19</v>
      </c>
      <c r="B21" s="5">
        <v>5</v>
      </c>
      <c r="C21" s="5" t="s">
        <v>53</v>
      </c>
      <c r="D21" s="5">
        <v>4</v>
      </c>
      <c r="E21" s="5">
        <v>3</v>
      </c>
      <c r="F21" s="5">
        <v>5</v>
      </c>
      <c r="G21" s="5">
        <v>3</v>
      </c>
      <c r="H21" s="5"/>
    </row>
    <row r="22" spans="1:9" x14ac:dyDescent="0.55000000000000004">
      <c r="A22" s="23">
        <v>20</v>
      </c>
      <c r="B22" s="5">
        <v>5</v>
      </c>
      <c r="C22" s="5" t="s">
        <v>53</v>
      </c>
      <c r="D22" s="5">
        <v>6</v>
      </c>
      <c r="E22" s="5">
        <v>1</v>
      </c>
      <c r="F22" s="5">
        <v>1</v>
      </c>
      <c r="G22" s="5">
        <v>7</v>
      </c>
      <c r="H22" s="5"/>
    </row>
    <row r="23" spans="1:9" x14ac:dyDescent="0.55000000000000004">
      <c r="A23" s="23">
        <v>21</v>
      </c>
      <c r="B23" s="5">
        <v>3</v>
      </c>
      <c r="C23" s="5" t="s">
        <v>93</v>
      </c>
      <c r="D23" s="5">
        <v>7</v>
      </c>
      <c r="E23" s="5">
        <v>3</v>
      </c>
      <c r="F23" s="5">
        <v>1</v>
      </c>
      <c r="G23" s="5">
        <v>5</v>
      </c>
      <c r="H23" s="5"/>
    </row>
    <row r="24" spans="1:9" x14ac:dyDescent="0.55000000000000004">
      <c r="A24" s="23">
        <v>22</v>
      </c>
      <c r="B24" s="5">
        <v>3</v>
      </c>
      <c r="C24" s="5" t="s">
        <v>53</v>
      </c>
      <c r="D24" s="5">
        <v>3</v>
      </c>
      <c r="E24" s="5">
        <v>4</v>
      </c>
      <c r="F24" s="5">
        <v>7</v>
      </c>
      <c r="G24" s="5">
        <v>3</v>
      </c>
      <c r="H24" s="5"/>
    </row>
    <row r="25" spans="1:9" x14ac:dyDescent="0.55000000000000004">
      <c r="A25" s="23">
        <v>23</v>
      </c>
      <c r="B25" s="5">
        <v>3</v>
      </c>
      <c r="C25" s="5" t="s">
        <v>53</v>
      </c>
      <c r="D25" s="5">
        <v>4</v>
      </c>
      <c r="E25" s="5">
        <v>5</v>
      </c>
      <c r="F25" s="5">
        <v>5</v>
      </c>
      <c r="G25" s="5">
        <v>4</v>
      </c>
      <c r="H25" s="5"/>
    </row>
    <row r="26" spans="1:9" x14ac:dyDescent="0.55000000000000004">
      <c r="A26" s="23">
        <v>24</v>
      </c>
      <c r="B26" s="5">
        <v>4</v>
      </c>
      <c r="C26" s="5" t="s">
        <v>53</v>
      </c>
      <c r="D26" s="5">
        <v>4</v>
      </c>
      <c r="E26" s="5">
        <v>6</v>
      </c>
      <c r="F26" s="5">
        <v>3</v>
      </c>
      <c r="G26" s="5">
        <v>3</v>
      </c>
      <c r="H26" s="5"/>
    </row>
    <row r="27" spans="1:9" x14ac:dyDescent="0.55000000000000004">
      <c r="A27" s="23">
        <v>25</v>
      </c>
      <c r="B27" s="5">
        <v>2</v>
      </c>
      <c r="C27" s="5" t="s">
        <v>53</v>
      </c>
      <c r="D27" s="5">
        <v>5</v>
      </c>
      <c r="E27" s="5">
        <v>3</v>
      </c>
      <c r="F27" s="5">
        <v>2</v>
      </c>
      <c r="G27" s="5">
        <v>5</v>
      </c>
      <c r="H27" s="5"/>
    </row>
    <row r="28" spans="1:9" x14ac:dyDescent="0.55000000000000004">
      <c r="A28" s="23">
        <v>26</v>
      </c>
      <c r="B28" s="5">
        <v>2</v>
      </c>
      <c r="C28" s="5" t="s">
        <v>87</v>
      </c>
      <c r="D28" s="5">
        <v>5</v>
      </c>
      <c r="E28" s="5">
        <v>3</v>
      </c>
      <c r="F28" s="5">
        <v>2</v>
      </c>
      <c r="G28" s="5">
        <v>5</v>
      </c>
      <c r="H28" s="5"/>
    </row>
    <row r="29" spans="1:9" x14ac:dyDescent="0.55000000000000004">
      <c r="A29" s="23">
        <v>27</v>
      </c>
      <c r="B29" s="5">
        <v>6</v>
      </c>
      <c r="C29" s="5" t="s">
        <v>53</v>
      </c>
      <c r="D29" s="5">
        <v>6</v>
      </c>
      <c r="E29" s="5">
        <v>2</v>
      </c>
      <c r="F29" s="5">
        <v>2</v>
      </c>
      <c r="G29" s="5">
        <v>7</v>
      </c>
      <c r="H29" s="5"/>
    </row>
    <row r="30" spans="1:9" x14ac:dyDescent="0.55000000000000004">
      <c r="A30" s="23">
        <v>28</v>
      </c>
      <c r="B30" s="5">
        <v>1</v>
      </c>
      <c r="C30" s="5" t="s">
        <v>88</v>
      </c>
      <c r="D30" s="5">
        <v>6</v>
      </c>
      <c r="E30" s="5">
        <v>5</v>
      </c>
      <c r="F30" s="5">
        <v>5</v>
      </c>
      <c r="G30" s="5">
        <v>3</v>
      </c>
      <c r="H30" s="5"/>
    </row>
    <row r="31" spans="1:9" x14ac:dyDescent="0.55000000000000004">
      <c r="A31" s="23">
        <v>29</v>
      </c>
      <c r="B31" s="5">
        <v>5</v>
      </c>
      <c r="C31" s="5" t="s">
        <v>53</v>
      </c>
      <c r="D31" s="5">
        <v>7</v>
      </c>
      <c r="E31" s="5">
        <v>3</v>
      </c>
      <c r="F31" s="5">
        <v>2</v>
      </c>
      <c r="G31" s="5">
        <v>7</v>
      </c>
      <c r="H31" s="5"/>
    </row>
    <row r="32" spans="1:9" x14ac:dyDescent="0.55000000000000004">
      <c r="A32" s="23">
        <v>30</v>
      </c>
      <c r="B32" s="5">
        <v>2</v>
      </c>
      <c r="C32" s="5" t="s">
        <v>53</v>
      </c>
      <c r="D32" s="5">
        <v>6</v>
      </c>
      <c r="E32" s="5">
        <v>2</v>
      </c>
      <c r="F32" s="5">
        <v>1</v>
      </c>
      <c r="G32" s="5">
        <v>5</v>
      </c>
      <c r="H32" s="5"/>
    </row>
    <row r="33" spans="1:8" x14ac:dyDescent="0.55000000000000004">
      <c r="A33" s="23">
        <v>31</v>
      </c>
      <c r="B33" s="5">
        <v>2</v>
      </c>
      <c r="C33" s="5" t="s">
        <v>89</v>
      </c>
      <c r="D33" s="5">
        <v>5</v>
      </c>
      <c r="E33" s="5">
        <v>5</v>
      </c>
      <c r="F33" s="5">
        <v>5</v>
      </c>
      <c r="G33" s="5">
        <v>4</v>
      </c>
      <c r="H33" s="5"/>
    </row>
    <row r="34" spans="1:8" x14ac:dyDescent="0.55000000000000004">
      <c r="A34" s="23">
        <v>32</v>
      </c>
      <c r="B34" s="5">
        <v>4</v>
      </c>
      <c r="C34" s="5" t="s">
        <v>53</v>
      </c>
      <c r="D34" s="5">
        <v>2</v>
      </c>
      <c r="E34" s="5">
        <v>6</v>
      </c>
      <c r="F34" s="5">
        <v>3</v>
      </c>
      <c r="G34" s="5">
        <v>2</v>
      </c>
      <c r="H34" s="5"/>
    </row>
    <row r="35" spans="1:8" x14ac:dyDescent="0.55000000000000004">
      <c r="A35" s="23">
        <v>33</v>
      </c>
      <c r="B35" s="5">
        <v>3</v>
      </c>
      <c r="C35" s="5" t="s">
        <v>86</v>
      </c>
      <c r="D35" s="5">
        <v>4</v>
      </c>
      <c r="E35" s="5">
        <v>5</v>
      </c>
      <c r="F35" s="5">
        <v>7</v>
      </c>
      <c r="G35" s="5">
        <v>5</v>
      </c>
      <c r="H35" s="5"/>
    </row>
    <row r="36" spans="1:8" x14ac:dyDescent="0.55000000000000004">
      <c r="A36" s="23">
        <v>34</v>
      </c>
      <c r="B36" s="5">
        <v>4</v>
      </c>
      <c r="C36" s="5" t="s">
        <v>86</v>
      </c>
      <c r="D36" s="5">
        <v>4</v>
      </c>
      <c r="E36" s="5">
        <v>5</v>
      </c>
      <c r="F36" s="5">
        <v>4</v>
      </c>
      <c r="G36" s="5">
        <v>1</v>
      </c>
      <c r="H36" s="5"/>
    </row>
    <row r="37" spans="1:8" x14ac:dyDescent="0.55000000000000004">
      <c r="A37" s="23">
        <v>35</v>
      </c>
      <c r="B37" s="5">
        <v>7</v>
      </c>
      <c r="C37" s="5" t="s">
        <v>86</v>
      </c>
      <c r="D37" s="5">
        <v>5</v>
      </c>
      <c r="E37" s="5">
        <v>2</v>
      </c>
      <c r="F37" s="5">
        <v>2</v>
      </c>
      <c r="G37" s="5">
        <v>7</v>
      </c>
      <c r="H37" s="5"/>
    </row>
    <row r="38" spans="1:8" x14ac:dyDescent="0.55000000000000004">
      <c r="A38" s="23">
        <v>36</v>
      </c>
      <c r="B38" s="5">
        <v>4</v>
      </c>
      <c r="C38" s="5" t="s">
        <v>53</v>
      </c>
      <c r="D38" s="5">
        <v>6</v>
      </c>
      <c r="E38" s="5">
        <v>1</v>
      </c>
      <c r="F38" s="5">
        <v>1</v>
      </c>
      <c r="G38" s="5">
        <v>6</v>
      </c>
      <c r="H38" s="5"/>
    </row>
    <row r="39" spans="1:8" x14ac:dyDescent="0.55000000000000004">
      <c r="A39" s="23">
        <v>37</v>
      </c>
      <c r="B39" s="5">
        <v>7</v>
      </c>
      <c r="C39" s="5" t="s">
        <v>53</v>
      </c>
      <c r="D39" s="5">
        <v>5</v>
      </c>
      <c r="E39" s="5">
        <v>3</v>
      </c>
      <c r="F39" s="5">
        <v>1</v>
      </c>
      <c r="G39" s="5">
        <v>5</v>
      </c>
      <c r="H39" s="5"/>
    </row>
    <row r="40" spans="1:8" x14ac:dyDescent="0.55000000000000004">
      <c r="A40" s="23">
        <v>38</v>
      </c>
      <c r="B40" s="5">
        <v>2</v>
      </c>
      <c r="C40" s="5" t="s">
        <v>53</v>
      </c>
      <c r="D40" s="5">
        <v>4</v>
      </c>
      <c r="E40" s="5">
        <v>3</v>
      </c>
      <c r="F40" s="5">
        <v>6</v>
      </c>
      <c r="G40" s="5">
        <v>3</v>
      </c>
      <c r="H40" s="5"/>
    </row>
    <row r="41" spans="1:8" x14ac:dyDescent="0.55000000000000004">
      <c r="A41" s="23">
        <v>39</v>
      </c>
      <c r="B41" s="5">
        <v>1</v>
      </c>
      <c r="C41" s="5" t="s">
        <v>90</v>
      </c>
      <c r="D41" s="5">
        <v>6</v>
      </c>
      <c r="E41" s="5">
        <v>5</v>
      </c>
      <c r="F41" s="5">
        <v>7</v>
      </c>
      <c r="G41" s="5">
        <v>5</v>
      </c>
      <c r="H41" s="5"/>
    </row>
    <row r="42" spans="1:8" x14ac:dyDescent="0.55000000000000004">
      <c r="A42" s="23">
        <v>40</v>
      </c>
      <c r="B42" s="5">
        <v>4</v>
      </c>
      <c r="C42" s="5" t="s">
        <v>53</v>
      </c>
      <c r="D42" s="5">
        <v>5</v>
      </c>
      <c r="E42" s="5">
        <v>3</v>
      </c>
      <c r="F42" s="5">
        <v>2</v>
      </c>
      <c r="G42" s="5">
        <v>6</v>
      </c>
      <c r="H42" s="5"/>
    </row>
    <row r="43" spans="1:8" x14ac:dyDescent="0.55000000000000004">
      <c r="A43" s="23">
        <v>41</v>
      </c>
      <c r="B43" s="5">
        <v>7</v>
      </c>
      <c r="C43" s="5" t="s">
        <v>53</v>
      </c>
      <c r="D43" s="5">
        <v>3</v>
      </c>
      <c r="E43" s="5">
        <v>5</v>
      </c>
      <c r="F43" s="5">
        <v>3</v>
      </c>
      <c r="G43" s="5">
        <v>3</v>
      </c>
      <c r="H43" s="5"/>
    </row>
    <row r="44" spans="1:8" x14ac:dyDescent="0.55000000000000004">
      <c r="A44" s="23">
        <v>26</v>
      </c>
      <c r="B44" s="5">
        <v>2</v>
      </c>
      <c r="C44" s="5" t="s">
        <v>87</v>
      </c>
      <c r="D44" s="5">
        <v>5</v>
      </c>
      <c r="E44" s="5">
        <v>3</v>
      </c>
      <c r="F44" s="5">
        <v>2</v>
      </c>
      <c r="G44" s="5">
        <v>5</v>
      </c>
      <c r="H44" s="5"/>
    </row>
    <row r="45" spans="1:8" x14ac:dyDescent="0.55000000000000004">
      <c r="A45" s="23">
        <v>42</v>
      </c>
      <c r="B45" s="5">
        <v>3</v>
      </c>
      <c r="C45" s="5" t="s">
        <v>90</v>
      </c>
      <c r="D45" s="5">
        <v>4</v>
      </c>
      <c r="E45" s="5">
        <v>3</v>
      </c>
      <c r="F45" s="5">
        <v>6</v>
      </c>
      <c r="G45" s="5">
        <v>3</v>
      </c>
      <c r="H45" s="5"/>
    </row>
    <row r="46" spans="1:8" x14ac:dyDescent="0.55000000000000004">
      <c r="A46" s="23">
        <v>43</v>
      </c>
      <c r="B46" s="5">
        <v>5</v>
      </c>
      <c r="C46" s="5" t="s">
        <v>53</v>
      </c>
      <c r="D46" s="5">
        <v>4</v>
      </c>
      <c r="E46" s="5">
        <v>4</v>
      </c>
      <c r="F46" s="5">
        <v>6</v>
      </c>
      <c r="G46" s="5">
        <v>5</v>
      </c>
      <c r="H46" s="5"/>
    </row>
    <row r="47" spans="1:8" x14ac:dyDescent="0.55000000000000004">
      <c r="A47" s="23">
        <v>44</v>
      </c>
      <c r="B47" s="5">
        <v>4</v>
      </c>
      <c r="C47" s="5" t="s">
        <v>88</v>
      </c>
      <c r="D47" s="5">
        <v>2</v>
      </c>
      <c r="E47" s="5">
        <v>7</v>
      </c>
      <c r="F47" s="5">
        <v>4</v>
      </c>
      <c r="G47" s="5">
        <v>2</v>
      </c>
      <c r="H47" s="5"/>
    </row>
    <row r="48" spans="1:8" x14ac:dyDescent="0.55000000000000004">
      <c r="A48" s="23">
        <v>45</v>
      </c>
      <c r="B48" s="5">
        <v>4</v>
      </c>
      <c r="C48" s="5" t="s">
        <v>53</v>
      </c>
      <c r="D48" s="5">
        <v>3</v>
      </c>
      <c r="E48" s="5">
        <v>4</v>
      </c>
      <c r="F48" s="5">
        <v>6</v>
      </c>
      <c r="G48" s="5">
        <v>3</v>
      </c>
      <c r="H48" s="5"/>
    </row>
    <row r="49" spans="1:8" x14ac:dyDescent="0.55000000000000004">
      <c r="A49" s="23">
        <v>46</v>
      </c>
      <c r="B49" s="5">
        <v>2</v>
      </c>
      <c r="C49" s="5" t="s">
        <v>91</v>
      </c>
      <c r="D49" s="5">
        <v>4</v>
      </c>
      <c r="E49" s="5">
        <v>4</v>
      </c>
      <c r="F49" s="5">
        <v>7</v>
      </c>
      <c r="G49" s="5">
        <v>4</v>
      </c>
      <c r="H49" s="5"/>
    </row>
    <row r="50" spans="1:8" x14ac:dyDescent="0.55000000000000004">
      <c r="A50" s="23">
        <v>47</v>
      </c>
      <c r="B50" s="5">
        <v>6</v>
      </c>
      <c r="C50" s="5" t="s">
        <v>53</v>
      </c>
      <c r="D50" s="5">
        <v>6</v>
      </c>
      <c r="E50" s="5">
        <v>2</v>
      </c>
      <c r="F50" s="5">
        <v>3</v>
      </c>
      <c r="G50" s="5">
        <v>5</v>
      </c>
      <c r="H50" s="5"/>
    </row>
    <row r="51" spans="1:8" x14ac:dyDescent="0.55000000000000004">
      <c r="A51" s="23">
        <v>48</v>
      </c>
      <c r="B51" s="5">
        <v>3</v>
      </c>
      <c r="C51" s="5" t="s">
        <v>53</v>
      </c>
      <c r="D51" s="5">
        <v>1</v>
      </c>
      <c r="E51" s="5">
        <v>7</v>
      </c>
      <c r="F51" s="5">
        <v>3</v>
      </c>
      <c r="G51" s="5">
        <v>1</v>
      </c>
      <c r="H51" s="5"/>
    </row>
    <row r="52" spans="1:8" x14ac:dyDescent="0.55000000000000004">
      <c r="A52" s="23">
        <v>49</v>
      </c>
      <c r="B52" s="5">
        <v>6</v>
      </c>
      <c r="C52" s="5" t="s">
        <v>53</v>
      </c>
      <c r="D52" s="5">
        <v>5</v>
      </c>
      <c r="E52" s="5">
        <v>2</v>
      </c>
      <c r="F52" s="5">
        <v>2</v>
      </c>
      <c r="G52" s="5">
        <v>5</v>
      </c>
      <c r="H52" s="5"/>
    </row>
    <row r="53" spans="1:8" x14ac:dyDescent="0.55000000000000004">
      <c r="A53" s="23">
        <v>50</v>
      </c>
      <c r="B53" s="5">
        <v>3</v>
      </c>
      <c r="C53" s="5" t="s">
        <v>53</v>
      </c>
      <c r="D53" s="5">
        <v>1</v>
      </c>
      <c r="E53" s="5">
        <v>5</v>
      </c>
      <c r="F53" s="5">
        <v>3</v>
      </c>
      <c r="G53" s="5">
        <v>3</v>
      </c>
      <c r="H53" s="5"/>
    </row>
    <row r="54" spans="1:8" x14ac:dyDescent="0.55000000000000004">
      <c r="A54" s="23">
        <v>51</v>
      </c>
      <c r="B54" s="5">
        <v>2</v>
      </c>
      <c r="C54" s="5" t="s">
        <v>86</v>
      </c>
      <c r="D54" s="5">
        <v>7</v>
      </c>
      <c r="E54" s="5">
        <v>3</v>
      </c>
      <c r="F54" s="5">
        <v>3</v>
      </c>
      <c r="G54" s="5">
        <v>7</v>
      </c>
      <c r="H54" s="5"/>
    </row>
    <row r="55" spans="1:8" x14ac:dyDescent="0.55000000000000004">
      <c r="A55" s="23">
        <v>52</v>
      </c>
      <c r="B55" s="5">
        <v>7</v>
      </c>
      <c r="C55" s="5" t="s">
        <v>86</v>
      </c>
      <c r="D55" s="5">
        <v>4</v>
      </c>
      <c r="E55" s="5">
        <v>4</v>
      </c>
      <c r="F55" s="5">
        <v>6</v>
      </c>
      <c r="G55" s="5">
        <v>5</v>
      </c>
      <c r="H55" s="5"/>
    </row>
    <row r="56" spans="1:8" x14ac:dyDescent="0.55000000000000004">
      <c r="A56" s="23">
        <v>53</v>
      </c>
      <c r="B56" s="5">
        <v>3</v>
      </c>
      <c r="C56" s="5" t="s">
        <v>86</v>
      </c>
      <c r="D56" s="5">
        <v>4</v>
      </c>
      <c r="E56" s="5">
        <v>6</v>
      </c>
      <c r="F56" s="5">
        <v>3</v>
      </c>
      <c r="G56" s="5">
        <v>2</v>
      </c>
      <c r="H56" s="5"/>
    </row>
    <row r="57" spans="1:8" x14ac:dyDescent="0.55000000000000004">
      <c r="A57" s="23">
        <v>48</v>
      </c>
      <c r="B57" s="5">
        <v>3</v>
      </c>
      <c r="C57" s="5" t="s">
        <v>53</v>
      </c>
      <c r="D57" s="5">
        <v>1</v>
      </c>
      <c r="E57" s="5">
        <v>7</v>
      </c>
      <c r="F57" s="5">
        <v>3</v>
      </c>
      <c r="G57" s="5">
        <v>1</v>
      </c>
      <c r="H57" s="5"/>
    </row>
    <row r="58" spans="1:8" x14ac:dyDescent="0.55000000000000004">
      <c r="A58" s="23">
        <v>54</v>
      </c>
      <c r="B58" s="5">
        <v>3</v>
      </c>
      <c r="C58" s="5" t="s">
        <v>86</v>
      </c>
      <c r="D58" s="5">
        <v>3</v>
      </c>
      <c r="E58" s="5">
        <v>4</v>
      </c>
      <c r="F58" s="5">
        <v>7</v>
      </c>
      <c r="G58" s="5">
        <v>4</v>
      </c>
      <c r="H58" s="5"/>
    </row>
    <row r="59" spans="1:8" x14ac:dyDescent="0.55000000000000004">
      <c r="A59" s="23">
        <v>55</v>
      </c>
      <c r="B59" s="5">
        <v>4</v>
      </c>
      <c r="C59" s="5" t="s">
        <v>86</v>
      </c>
      <c r="D59" s="5">
        <v>7</v>
      </c>
      <c r="E59" s="5">
        <v>2</v>
      </c>
      <c r="F59" s="5">
        <v>1</v>
      </c>
      <c r="G59" s="5">
        <v>5</v>
      </c>
      <c r="H59" s="5"/>
    </row>
    <row r="60" spans="1:8" x14ac:dyDescent="0.55000000000000004">
      <c r="A60" s="23">
        <v>56</v>
      </c>
      <c r="B60" s="5">
        <v>7</v>
      </c>
      <c r="C60" s="5" t="s">
        <v>94</v>
      </c>
      <c r="D60" s="5">
        <v>4</v>
      </c>
      <c r="E60" s="5">
        <v>5</v>
      </c>
      <c r="F60" s="5">
        <v>6</v>
      </c>
      <c r="G60" s="5">
        <v>5</v>
      </c>
      <c r="H60" s="5"/>
    </row>
    <row r="61" spans="1:8" x14ac:dyDescent="0.55000000000000004">
      <c r="A61" s="23">
        <v>57</v>
      </c>
      <c r="B61" s="5">
        <v>2</v>
      </c>
      <c r="C61" s="5" t="s">
        <v>92</v>
      </c>
      <c r="D61" s="5">
        <v>1</v>
      </c>
      <c r="E61" s="5">
        <v>5</v>
      </c>
      <c r="F61" s="5">
        <v>4</v>
      </c>
      <c r="G61" s="5">
        <v>1</v>
      </c>
      <c r="H61" s="5"/>
    </row>
    <row r="62" spans="1:8" x14ac:dyDescent="0.55000000000000004">
      <c r="A62" s="23">
        <v>58</v>
      </c>
      <c r="B62" s="5">
        <v>2</v>
      </c>
      <c r="C62" s="5" t="s">
        <v>92</v>
      </c>
      <c r="D62" s="5">
        <v>6</v>
      </c>
      <c r="E62" s="5">
        <v>2</v>
      </c>
      <c r="F62" s="5">
        <v>2</v>
      </c>
      <c r="G62" s="5">
        <v>5</v>
      </c>
      <c r="H62" s="5"/>
    </row>
    <row r="63" spans="1:8" x14ac:dyDescent="0.55000000000000004">
      <c r="A63" s="23">
        <v>59</v>
      </c>
      <c r="B63" s="5">
        <v>3</v>
      </c>
      <c r="C63" s="5" t="s">
        <v>53</v>
      </c>
      <c r="D63" s="5">
        <v>4</v>
      </c>
      <c r="E63" s="5">
        <v>3</v>
      </c>
      <c r="F63" s="5">
        <v>6</v>
      </c>
      <c r="G63" s="5">
        <v>3</v>
      </c>
      <c r="H63" s="5"/>
    </row>
    <row r="64" spans="1:8" x14ac:dyDescent="0.55000000000000004">
      <c r="A64" s="23">
        <v>60</v>
      </c>
      <c r="B64" s="5">
        <v>6</v>
      </c>
      <c r="C64" s="5" t="s">
        <v>53</v>
      </c>
      <c r="D64" s="5">
        <v>6</v>
      </c>
      <c r="E64" s="5">
        <v>1</v>
      </c>
      <c r="F64" s="5">
        <v>2</v>
      </c>
      <c r="G64" s="5">
        <v>5</v>
      </c>
      <c r="H64" s="5"/>
    </row>
    <row r="65" spans="1:8" x14ac:dyDescent="0.55000000000000004">
      <c r="A65" s="23">
        <v>61</v>
      </c>
      <c r="B65" s="5">
        <v>3</v>
      </c>
      <c r="C65" s="5" t="s">
        <v>53</v>
      </c>
      <c r="D65" s="5">
        <v>3</v>
      </c>
      <c r="E65" s="5">
        <v>3</v>
      </c>
      <c r="F65" s="5">
        <v>5</v>
      </c>
      <c r="G65" s="5">
        <v>3</v>
      </c>
      <c r="H65" s="5"/>
    </row>
    <row r="66" spans="1:8" x14ac:dyDescent="0.55000000000000004">
      <c r="A66" s="23">
        <v>62</v>
      </c>
      <c r="B66" s="5">
        <v>5</v>
      </c>
      <c r="C66" s="5" t="s">
        <v>53</v>
      </c>
      <c r="D66" s="5">
        <v>5</v>
      </c>
      <c r="E66" s="5">
        <v>2</v>
      </c>
      <c r="F66" s="5">
        <v>3</v>
      </c>
      <c r="G66" s="5">
        <v>7</v>
      </c>
      <c r="H66" s="5"/>
    </row>
    <row r="67" spans="1:8" x14ac:dyDescent="0.55000000000000004">
      <c r="A67" s="23">
        <v>63</v>
      </c>
      <c r="B67" s="5">
        <v>3</v>
      </c>
      <c r="C67" s="5" t="s">
        <v>53</v>
      </c>
      <c r="D67" s="5">
        <v>7</v>
      </c>
      <c r="E67" s="5">
        <v>1</v>
      </c>
      <c r="F67" s="5">
        <v>2</v>
      </c>
      <c r="G67" s="5">
        <v>6</v>
      </c>
      <c r="H67" s="5"/>
    </row>
    <row r="68" spans="1:8" x14ac:dyDescent="0.55000000000000004">
      <c r="A68" s="23">
        <v>64</v>
      </c>
      <c r="B68" s="5">
        <v>6</v>
      </c>
      <c r="C68" s="5" t="s">
        <v>53</v>
      </c>
      <c r="D68" s="5">
        <v>5</v>
      </c>
      <c r="E68" s="5">
        <v>2</v>
      </c>
      <c r="F68" s="5">
        <v>1</v>
      </c>
      <c r="G68" s="5">
        <v>5</v>
      </c>
      <c r="H68" s="5"/>
    </row>
    <row r="69" spans="1:8" x14ac:dyDescent="0.55000000000000004">
      <c r="A69" s="23">
        <v>65</v>
      </c>
      <c r="B69" s="5">
        <v>4</v>
      </c>
      <c r="C69" s="5" t="s">
        <v>53</v>
      </c>
      <c r="D69" s="5">
        <v>6</v>
      </c>
      <c r="E69" s="5">
        <v>1</v>
      </c>
      <c r="F69" s="5">
        <v>2</v>
      </c>
      <c r="G69" s="5">
        <v>7</v>
      </c>
      <c r="H69" s="5"/>
    </row>
    <row r="70" spans="1:8" x14ac:dyDescent="0.55000000000000004">
      <c r="A70" s="23">
        <v>66</v>
      </c>
      <c r="B70" s="5">
        <v>4</v>
      </c>
      <c r="C70" s="5" t="s">
        <v>53</v>
      </c>
      <c r="D70" s="5">
        <v>1</v>
      </c>
      <c r="E70" s="5">
        <v>6</v>
      </c>
      <c r="F70" s="5">
        <v>4</v>
      </c>
      <c r="G70" s="5">
        <v>1</v>
      </c>
      <c r="H70" s="5"/>
    </row>
    <row r="71" spans="1:8" x14ac:dyDescent="0.55000000000000004">
      <c r="A71" s="23">
        <v>67</v>
      </c>
      <c r="B71" s="5">
        <v>4</v>
      </c>
      <c r="C71" s="5" t="s">
        <v>53</v>
      </c>
      <c r="D71" s="5">
        <v>2</v>
      </c>
      <c r="E71" s="5">
        <v>7</v>
      </c>
      <c r="F71" s="5">
        <v>4</v>
      </c>
      <c r="G71" s="5">
        <v>2</v>
      </c>
      <c r="H71" s="5"/>
    </row>
    <row r="72" spans="1:8" x14ac:dyDescent="0.55000000000000004">
      <c r="A72" s="23">
        <v>68</v>
      </c>
      <c r="B72" s="5">
        <v>4</v>
      </c>
      <c r="C72" s="5" t="s">
        <v>91</v>
      </c>
      <c r="D72" s="5">
        <v>2</v>
      </c>
      <c r="E72" s="5">
        <v>7</v>
      </c>
      <c r="F72" s="5">
        <v>4</v>
      </c>
      <c r="G72" s="5">
        <v>1</v>
      </c>
      <c r="H72" s="5"/>
    </row>
    <row r="73" spans="1:8" x14ac:dyDescent="0.55000000000000004">
      <c r="A73" s="23">
        <v>69</v>
      </c>
      <c r="B73" s="5">
        <v>3</v>
      </c>
      <c r="C73" s="5" t="s">
        <v>53</v>
      </c>
      <c r="D73" s="5">
        <v>4</v>
      </c>
      <c r="E73" s="5">
        <v>3</v>
      </c>
      <c r="F73" s="5">
        <v>6</v>
      </c>
      <c r="G73" s="5">
        <v>3</v>
      </c>
      <c r="H73" s="5"/>
    </row>
    <row r="74" spans="1:8" x14ac:dyDescent="0.55000000000000004">
      <c r="A74" s="23">
        <v>70</v>
      </c>
      <c r="B74" s="5">
        <v>1</v>
      </c>
      <c r="C74" s="5" t="s">
        <v>53</v>
      </c>
      <c r="D74" s="5">
        <v>7</v>
      </c>
      <c r="E74" s="5">
        <v>1</v>
      </c>
      <c r="F74" s="5">
        <v>1</v>
      </c>
      <c r="G74" s="5">
        <v>5</v>
      </c>
      <c r="H74" s="5"/>
    </row>
    <row r="75" spans="1:8" x14ac:dyDescent="0.55000000000000004">
      <c r="A75" s="23">
        <v>71</v>
      </c>
      <c r="B75" s="5">
        <v>3</v>
      </c>
      <c r="C75" s="5" t="s">
        <v>53</v>
      </c>
      <c r="D75" s="5">
        <v>4</v>
      </c>
      <c r="E75" s="5">
        <v>4</v>
      </c>
      <c r="F75" s="5">
        <v>7</v>
      </c>
      <c r="G75" s="5">
        <v>3</v>
      </c>
      <c r="H75" s="5"/>
    </row>
    <row r="76" spans="1:8" x14ac:dyDescent="0.55000000000000004">
      <c r="A76" s="23">
        <v>72</v>
      </c>
      <c r="B76" s="5">
        <v>1</v>
      </c>
      <c r="C76" s="5" t="s">
        <v>53</v>
      </c>
      <c r="D76" s="5">
        <v>6</v>
      </c>
      <c r="E76" s="5">
        <v>1</v>
      </c>
      <c r="F76" s="5">
        <v>3</v>
      </c>
      <c r="G76" s="5">
        <v>6</v>
      </c>
      <c r="H76" s="5"/>
    </row>
    <row r="77" spans="1:8" x14ac:dyDescent="0.55000000000000004">
      <c r="A77" s="23">
        <v>73</v>
      </c>
      <c r="B77" s="5">
        <v>1</v>
      </c>
      <c r="C77" s="5" t="s">
        <v>53</v>
      </c>
      <c r="D77" s="5">
        <v>4</v>
      </c>
      <c r="E77" s="5">
        <v>7</v>
      </c>
      <c r="F77" s="5">
        <v>3</v>
      </c>
      <c r="G77" s="5">
        <v>1</v>
      </c>
      <c r="H77" s="5"/>
    </row>
    <row r="78" spans="1:8" x14ac:dyDescent="0.55000000000000004">
      <c r="A78" s="23">
        <v>74</v>
      </c>
      <c r="B78" s="5">
        <v>3</v>
      </c>
      <c r="C78" s="5" t="s">
        <v>86</v>
      </c>
      <c r="D78" s="5">
        <v>1</v>
      </c>
      <c r="E78" s="5">
        <v>5</v>
      </c>
      <c r="F78" s="5">
        <v>4</v>
      </c>
      <c r="G78" s="5">
        <v>2</v>
      </c>
      <c r="H78" s="5"/>
    </row>
    <row r="79" spans="1:8" x14ac:dyDescent="0.55000000000000004">
      <c r="A79" s="23">
        <v>75</v>
      </c>
      <c r="B79" s="5">
        <v>2</v>
      </c>
      <c r="C79" s="5" t="s">
        <v>53</v>
      </c>
      <c r="D79" s="5">
        <v>3</v>
      </c>
      <c r="E79" s="5">
        <v>6</v>
      </c>
      <c r="F79" s="5">
        <v>4</v>
      </c>
      <c r="G79" s="5">
        <v>2</v>
      </c>
      <c r="H79" s="5"/>
    </row>
    <row r="80" spans="1:8" x14ac:dyDescent="0.55000000000000004">
      <c r="A80" s="23">
        <v>76</v>
      </c>
      <c r="B80" s="5">
        <v>5</v>
      </c>
      <c r="C80" s="5" t="s">
        <v>53</v>
      </c>
      <c r="D80" s="5">
        <v>3</v>
      </c>
      <c r="E80" s="5">
        <v>6</v>
      </c>
      <c r="F80" s="5">
        <v>3</v>
      </c>
      <c r="G80" s="5">
        <v>1</v>
      </c>
      <c r="H80" s="5"/>
    </row>
    <row r="81" spans="1:8" x14ac:dyDescent="0.55000000000000004">
      <c r="A81" s="23">
        <v>77</v>
      </c>
      <c r="B81" s="5">
        <v>5</v>
      </c>
      <c r="C81" s="5" t="s">
        <v>53</v>
      </c>
      <c r="D81" s="5">
        <v>6</v>
      </c>
      <c r="E81" s="5">
        <v>2</v>
      </c>
      <c r="F81" s="5">
        <v>1</v>
      </c>
      <c r="G81" s="5">
        <v>7</v>
      </c>
      <c r="H81" s="5"/>
    </row>
    <row r="82" spans="1:8" x14ac:dyDescent="0.55000000000000004">
      <c r="A82" s="23">
        <v>78</v>
      </c>
      <c r="B82" s="5">
        <v>4</v>
      </c>
      <c r="C82" s="5" t="s">
        <v>53</v>
      </c>
      <c r="D82" s="5">
        <v>4</v>
      </c>
      <c r="E82" s="5">
        <v>5</v>
      </c>
      <c r="F82" s="5">
        <v>6</v>
      </c>
      <c r="G82" s="5">
        <v>4</v>
      </c>
      <c r="H82" s="5"/>
    </row>
    <row r="83" spans="1:8" x14ac:dyDescent="0.55000000000000004">
      <c r="A83" s="23">
        <v>79</v>
      </c>
      <c r="B83" s="5">
        <v>6</v>
      </c>
      <c r="C83" s="5" t="s">
        <v>53</v>
      </c>
      <c r="D83" s="5">
        <v>5</v>
      </c>
      <c r="E83" s="5">
        <v>3</v>
      </c>
      <c r="F83" s="5">
        <v>2</v>
      </c>
      <c r="G83" s="5">
        <v>6</v>
      </c>
      <c r="H83" s="5"/>
    </row>
    <row r="84" spans="1:8" x14ac:dyDescent="0.55000000000000004">
      <c r="A84" s="23">
        <v>80</v>
      </c>
      <c r="B84" s="5">
        <v>4</v>
      </c>
      <c r="C84" s="5" t="s">
        <v>53</v>
      </c>
      <c r="D84" s="5">
        <v>7</v>
      </c>
      <c r="E84" s="5">
        <v>2</v>
      </c>
      <c r="F84" s="5">
        <v>1</v>
      </c>
      <c r="G84" s="5">
        <v>6</v>
      </c>
      <c r="H84" s="5"/>
    </row>
    <row r="85" spans="1:8" x14ac:dyDescent="0.55000000000000004">
      <c r="A85" s="23">
        <v>81</v>
      </c>
      <c r="B85" s="5">
        <v>4</v>
      </c>
      <c r="C85" s="5" t="s">
        <v>53</v>
      </c>
      <c r="D85" s="5">
        <v>3</v>
      </c>
      <c r="E85" s="5">
        <v>3</v>
      </c>
      <c r="F85" s="5">
        <v>5</v>
      </c>
      <c r="G85" s="5">
        <v>3</v>
      </c>
      <c r="H85" s="5"/>
    </row>
    <row r="86" spans="1:8" x14ac:dyDescent="0.55000000000000004">
      <c r="A86" s="23">
        <v>82</v>
      </c>
      <c r="B86" s="5">
        <v>3</v>
      </c>
      <c r="C86" s="5" t="s">
        <v>53</v>
      </c>
      <c r="D86" s="5">
        <v>1</v>
      </c>
      <c r="E86" s="5">
        <v>7</v>
      </c>
      <c r="F86" s="5">
        <v>5</v>
      </c>
      <c r="G86" s="5">
        <v>3</v>
      </c>
      <c r="H86" s="5"/>
    </row>
    <row r="87" spans="1:8" x14ac:dyDescent="0.55000000000000004">
      <c r="A87" s="23">
        <v>83</v>
      </c>
      <c r="B87" s="5">
        <v>7</v>
      </c>
      <c r="C87" s="5" t="s">
        <v>53</v>
      </c>
      <c r="D87" s="5">
        <v>5</v>
      </c>
      <c r="E87" s="5">
        <v>3</v>
      </c>
      <c r="F87" s="5">
        <v>1</v>
      </c>
      <c r="G87" s="5">
        <v>6</v>
      </c>
      <c r="H87" s="5"/>
    </row>
    <row r="88" spans="1:8" x14ac:dyDescent="0.55000000000000004">
      <c r="A88" s="23">
        <v>84</v>
      </c>
      <c r="B88" s="5">
        <v>4</v>
      </c>
      <c r="C88" s="5" t="s">
        <v>53</v>
      </c>
      <c r="D88" s="5">
        <v>2</v>
      </c>
      <c r="E88" s="5">
        <v>7</v>
      </c>
      <c r="F88" s="5">
        <v>5</v>
      </c>
      <c r="G88" s="5">
        <v>3</v>
      </c>
      <c r="H88" s="5"/>
    </row>
    <row r="89" spans="1:8" x14ac:dyDescent="0.55000000000000004">
      <c r="A89" s="23">
        <v>85</v>
      </c>
      <c r="B89" s="5">
        <v>4</v>
      </c>
      <c r="C89" s="5" t="s">
        <v>53</v>
      </c>
      <c r="D89" s="5">
        <v>2</v>
      </c>
      <c r="E89" s="5">
        <v>7</v>
      </c>
      <c r="F89" s="5">
        <v>3</v>
      </c>
      <c r="G89" s="5">
        <v>2</v>
      </c>
      <c r="H89" s="5"/>
    </row>
    <row r="90" spans="1:8" x14ac:dyDescent="0.55000000000000004">
      <c r="A90" s="23">
        <v>86</v>
      </c>
      <c r="B90" s="5">
        <v>1</v>
      </c>
      <c r="C90" s="5" t="s">
        <v>53</v>
      </c>
      <c r="D90" s="5">
        <v>6</v>
      </c>
      <c r="E90" s="5">
        <v>3</v>
      </c>
      <c r="F90" s="5">
        <v>1</v>
      </c>
      <c r="G90" s="5">
        <v>5</v>
      </c>
      <c r="H90" s="5"/>
    </row>
    <row r="91" spans="1:8" x14ac:dyDescent="0.55000000000000004">
      <c r="A91" s="23">
        <v>87</v>
      </c>
      <c r="B91" s="5">
        <v>4</v>
      </c>
      <c r="C91" s="5" t="s">
        <v>53</v>
      </c>
      <c r="D91" s="5">
        <v>5</v>
      </c>
      <c r="E91" s="5">
        <v>5</v>
      </c>
      <c r="F91" s="5">
        <v>5</v>
      </c>
      <c r="G91" s="5">
        <v>4</v>
      </c>
      <c r="H91" s="5"/>
    </row>
    <row r="92" spans="1:8" x14ac:dyDescent="0.55000000000000004">
      <c r="A92" s="23">
        <v>88</v>
      </c>
      <c r="B92" s="5">
        <v>5</v>
      </c>
      <c r="C92" s="5" t="s">
        <v>53</v>
      </c>
      <c r="D92" s="5">
        <v>6</v>
      </c>
      <c r="E92" s="5">
        <v>1</v>
      </c>
      <c r="F92" s="5">
        <v>1</v>
      </c>
      <c r="G92" s="5">
        <v>5</v>
      </c>
      <c r="H92" s="5"/>
    </row>
    <row r="93" spans="1:8" x14ac:dyDescent="0.55000000000000004">
      <c r="A93" s="23">
        <v>89</v>
      </c>
      <c r="B93" s="5">
        <v>4</v>
      </c>
      <c r="C93" s="5" t="s">
        <v>53</v>
      </c>
      <c r="D93" s="5">
        <v>3</v>
      </c>
      <c r="E93" s="5">
        <v>7</v>
      </c>
      <c r="F93" s="5">
        <v>4</v>
      </c>
      <c r="G93" s="5">
        <v>2</v>
      </c>
      <c r="H93" s="5"/>
    </row>
    <row r="94" spans="1:8" x14ac:dyDescent="0.55000000000000004">
      <c r="A94" s="23">
        <v>90</v>
      </c>
      <c r="B94" s="5">
        <v>7</v>
      </c>
      <c r="C94" s="5" t="s">
        <v>53</v>
      </c>
      <c r="D94" s="5">
        <v>3</v>
      </c>
      <c r="E94" s="5">
        <v>7</v>
      </c>
      <c r="F94" s="5">
        <v>3</v>
      </c>
      <c r="G94" s="5">
        <v>3</v>
      </c>
      <c r="H94" s="5"/>
    </row>
    <row r="95" spans="1:8" x14ac:dyDescent="0.55000000000000004">
      <c r="A95" s="23">
        <v>91</v>
      </c>
      <c r="B95" s="5">
        <v>3</v>
      </c>
      <c r="C95" s="5" t="s">
        <v>53</v>
      </c>
      <c r="D95" s="5">
        <v>1</v>
      </c>
      <c r="E95" s="5">
        <v>7</v>
      </c>
      <c r="F95" s="5">
        <v>5</v>
      </c>
      <c r="G95" s="5">
        <v>1</v>
      </c>
      <c r="H95" s="5"/>
    </row>
    <row r="96" spans="1:8" x14ac:dyDescent="0.55000000000000004">
      <c r="A96" s="23">
        <v>92</v>
      </c>
      <c r="B96" s="5">
        <v>2</v>
      </c>
      <c r="C96" s="5" t="s">
        <v>86</v>
      </c>
      <c r="D96" s="5">
        <v>4</v>
      </c>
      <c r="E96" s="5">
        <v>3</v>
      </c>
      <c r="F96" s="5">
        <v>6</v>
      </c>
      <c r="G96" s="5">
        <v>5</v>
      </c>
      <c r="H96" s="5"/>
    </row>
    <row r="97" spans="1:8" x14ac:dyDescent="0.55000000000000004">
      <c r="A97" s="23">
        <v>93</v>
      </c>
      <c r="B97" s="5">
        <v>7</v>
      </c>
      <c r="C97" s="5" t="s">
        <v>53</v>
      </c>
      <c r="D97" s="5">
        <v>5</v>
      </c>
      <c r="E97" s="5">
        <v>3</v>
      </c>
      <c r="F97" s="5">
        <v>2</v>
      </c>
      <c r="G97" s="5">
        <v>5</v>
      </c>
      <c r="H97" s="5"/>
    </row>
    <row r="98" spans="1:8" x14ac:dyDescent="0.55000000000000004">
      <c r="A98" s="23">
        <v>94</v>
      </c>
      <c r="B98" s="5">
        <v>4</v>
      </c>
      <c r="C98" s="5" t="s">
        <v>53</v>
      </c>
      <c r="D98" s="5">
        <v>4</v>
      </c>
      <c r="E98" s="5">
        <v>4</v>
      </c>
      <c r="F98" s="5">
        <v>7</v>
      </c>
      <c r="G98" s="5">
        <v>5</v>
      </c>
      <c r="H98" s="5"/>
    </row>
    <row r="99" spans="1:8" x14ac:dyDescent="0.55000000000000004">
      <c r="A99" s="23">
        <v>95</v>
      </c>
      <c r="B99" s="5">
        <v>4</v>
      </c>
      <c r="C99" s="5" t="s">
        <v>53</v>
      </c>
      <c r="D99" s="5">
        <v>6</v>
      </c>
      <c r="E99" s="5">
        <v>1</v>
      </c>
      <c r="F99" s="5">
        <v>1</v>
      </c>
      <c r="G99" s="5">
        <v>6</v>
      </c>
      <c r="H99" s="5"/>
    </row>
    <row r="100" spans="1:8" x14ac:dyDescent="0.55000000000000004">
      <c r="A100" s="23">
        <v>96</v>
      </c>
      <c r="B100" s="5">
        <v>3</v>
      </c>
      <c r="C100" s="5" t="s">
        <v>53</v>
      </c>
      <c r="D100" s="5">
        <v>4</v>
      </c>
      <c r="E100" s="5">
        <v>4</v>
      </c>
      <c r="F100" s="5">
        <v>5</v>
      </c>
      <c r="G100" s="5">
        <v>3</v>
      </c>
      <c r="H100" s="5"/>
    </row>
    <row r="101" spans="1:8" x14ac:dyDescent="0.55000000000000004">
      <c r="A101" s="23">
        <v>97</v>
      </c>
      <c r="B101" s="5">
        <v>4</v>
      </c>
      <c r="C101" s="5" t="s">
        <v>53</v>
      </c>
      <c r="D101" s="5">
        <v>3</v>
      </c>
      <c r="E101" s="5">
        <v>7</v>
      </c>
      <c r="F101" s="5">
        <v>5</v>
      </c>
      <c r="G101" s="5">
        <v>1</v>
      </c>
      <c r="H101" s="5"/>
    </row>
    <row r="102" spans="1:8" x14ac:dyDescent="0.55000000000000004">
      <c r="A102" s="23">
        <v>98</v>
      </c>
      <c r="B102" s="5">
        <v>3</v>
      </c>
      <c r="C102" s="5" t="s">
        <v>53</v>
      </c>
      <c r="D102" s="5">
        <v>3</v>
      </c>
      <c r="E102" s="5">
        <v>5</v>
      </c>
      <c r="F102" s="5">
        <v>5</v>
      </c>
      <c r="G102" s="5">
        <v>5</v>
      </c>
      <c r="H102" s="5"/>
    </row>
    <row r="103" spans="1:8" x14ac:dyDescent="0.55000000000000004">
      <c r="A103" s="23">
        <v>99</v>
      </c>
      <c r="B103" s="5">
        <v>1</v>
      </c>
      <c r="C103" s="5" t="s">
        <v>53</v>
      </c>
      <c r="D103" s="5">
        <v>5</v>
      </c>
      <c r="E103" s="5">
        <v>5</v>
      </c>
      <c r="F103" s="5">
        <v>7</v>
      </c>
      <c r="G103" s="5">
        <v>5</v>
      </c>
      <c r="H103" s="5"/>
    </row>
    <row r="104" spans="1:8" x14ac:dyDescent="0.55000000000000004">
      <c r="A104" s="23">
        <v>100</v>
      </c>
      <c r="B104" s="5">
        <v>4</v>
      </c>
      <c r="C104" s="5" t="s">
        <v>53</v>
      </c>
      <c r="D104" s="5">
        <v>2</v>
      </c>
      <c r="E104" s="5">
        <v>6</v>
      </c>
      <c r="F104" s="5">
        <v>3</v>
      </c>
      <c r="G104" s="5">
        <v>1</v>
      </c>
      <c r="H104" s="5"/>
    </row>
    <row r="105" spans="1:8" x14ac:dyDescent="0.55000000000000004">
      <c r="A105" s="23">
        <v>101</v>
      </c>
      <c r="B105" s="5">
        <v>4</v>
      </c>
      <c r="C105" s="5" t="s">
        <v>86</v>
      </c>
      <c r="D105" s="5">
        <v>7</v>
      </c>
      <c r="E105" s="5">
        <v>1</v>
      </c>
      <c r="F105" s="5">
        <v>3</v>
      </c>
      <c r="G105" s="5">
        <v>5</v>
      </c>
      <c r="H105" s="5"/>
    </row>
    <row r="106" spans="1:8" x14ac:dyDescent="0.55000000000000004">
      <c r="A106" s="23">
        <v>102</v>
      </c>
      <c r="B106" s="5">
        <v>5</v>
      </c>
      <c r="C106" s="5" t="s">
        <v>53</v>
      </c>
      <c r="D106" s="5">
        <v>6</v>
      </c>
      <c r="E106" s="5">
        <v>2</v>
      </c>
      <c r="F106" s="5">
        <v>1</v>
      </c>
      <c r="G106" s="5">
        <v>6</v>
      </c>
      <c r="H106" s="5"/>
    </row>
    <row r="107" spans="1:8" x14ac:dyDescent="0.55000000000000004">
      <c r="A107" s="23">
        <v>103</v>
      </c>
      <c r="B107" s="5">
        <v>5</v>
      </c>
      <c r="C107" s="5" t="s">
        <v>53</v>
      </c>
      <c r="D107" s="5">
        <v>6</v>
      </c>
      <c r="E107" s="5">
        <v>1</v>
      </c>
      <c r="F107" s="5">
        <v>3</v>
      </c>
      <c r="G107" s="5">
        <v>5</v>
      </c>
      <c r="H107" s="5"/>
    </row>
    <row r="108" spans="1:8" x14ac:dyDescent="0.55000000000000004">
      <c r="A108" s="23">
        <v>104</v>
      </c>
      <c r="B108" s="5">
        <v>3</v>
      </c>
      <c r="C108" s="5" t="s">
        <v>53</v>
      </c>
      <c r="D108" s="5">
        <v>2</v>
      </c>
      <c r="E108" s="5">
        <v>5</v>
      </c>
      <c r="F108" s="5">
        <v>4</v>
      </c>
      <c r="G108" s="5">
        <v>1</v>
      </c>
      <c r="H108" s="5"/>
    </row>
    <row r="109" spans="1:8" x14ac:dyDescent="0.55000000000000004">
      <c r="A109" s="23">
        <v>105</v>
      </c>
      <c r="B109" s="5">
        <v>3</v>
      </c>
      <c r="C109" s="5" t="s">
        <v>53</v>
      </c>
      <c r="D109" s="5">
        <v>2</v>
      </c>
      <c r="E109" s="5">
        <v>6</v>
      </c>
      <c r="F109" s="5">
        <v>5</v>
      </c>
      <c r="G109" s="5">
        <v>3</v>
      </c>
      <c r="H109" s="5"/>
    </row>
    <row r="110" spans="1:8" x14ac:dyDescent="0.55000000000000004">
      <c r="A110" s="23">
        <v>106</v>
      </c>
      <c r="B110" s="5">
        <v>1</v>
      </c>
      <c r="C110" s="5" t="s">
        <v>53</v>
      </c>
      <c r="D110" s="5">
        <v>3</v>
      </c>
      <c r="E110" s="5">
        <v>7</v>
      </c>
      <c r="F110" s="5">
        <v>3</v>
      </c>
      <c r="G110" s="5">
        <v>3</v>
      </c>
      <c r="H110" s="5"/>
    </row>
    <row r="111" spans="1:8" x14ac:dyDescent="0.55000000000000004">
      <c r="A111" s="23">
        <v>107</v>
      </c>
      <c r="B111" s="5">
        <v>3</v>
      </c>
      <c r="C111" s="5" t="s">
        <v>86</v>
      </c>
      <c r="D111" s="5">
        <v>5</v>
      </c>
      <c r="E111" s="5">
        <v>1</v>
      </c>
      <c r="F111" s="5">
        <v>2</v>
      </c>
      <c r="G111" s="5">
        <v>6</v>
      </c>
      <c r="H111" s="5"/>
    </row>
    <row r="112" spans="1:8" x14ac:dyDescent="0.55000000000000004">
      <c r="A112" s="23">
        <v>108</v>
      </c>
      <c r="B112" s="5">
        <v>3</v>
      </c>
      <c r="C112" s="5" t="s">
        <v>86</v>
      </c>
      <c r="D112" s="5">
        <v>3</v>
      </c>
      <c r="E112" s="5">
        <v>7</v>
      </c>
      <c r="F112" s="5">
        <v>4</v>
      </c>
      <c r="G112" s="5">
        <v>3</v>
      </c>
      <c r="H112" s="5"/>
    </row>
    <row r="113" spans="1:8" x14ac:dyDescent="0.55000000000000004">
      <c r="A113" s="23">
        <v>109</v>
      </c>
      <c r="B113" s="5">
        <v>5</v>
      </c>
      <c r="C113" s="5" t="s">
        <v>53</v>
      </c>
      <c r="D113" s="5">
        <v>5</v>
      </c>
      <c r="E113" s="5">
        <v>3</v>
      </c>
      <c r="F113" s="5">
        <v>3</v>
      </c>
      <c r="G113" s="5">
        <v>6</v>
      </c>
      <c r="H113" s="5"/>
    </row>
    <row r="114" spans="1:8" x14ac:dyDescent="0.55000000000000004">
      <c r="A114" s="23">
        <v>110</v>
      </c>
      <c r="B114" s="5">
        <v>5</v>
      </c>
      <c r="C114" s="5" t="s">
        <v>53</v>
      </c>
      <c r="D114" s="5">
        <v>6</v>
      </c>
      <c r="E114" s="5">
        <v>2</v>
      </c>
      <c r="F114" s="5">
        <v>2</v>
      </c>
      <c r="G114" s="5">
        <v>5</v>
      </c>
      <c r="H114" s="5"/>
    </row>
    <row r="115" spans="1:8" x14ac:dyDescent="0.55000000000000004">
      <c r="A115" s="23">
        <v>111</v>
      </c>
      <c r="B115" s="5">
        <v>4</v>
      </c>
      <c r="C115" s="5" t="s">
        <v>53</v>
      </c>
      <c r="D115" s="5">
        <v>3</v>
      </c>
      <c r="E115" s="5">
        <v>7</v>
      </c>
      <c r="F115" s="5">
        <v>3</v>
      </c>
      <c r="G115" s="5">
        <v>2</v>
      </c>
      <c r="H115" s="5"/>
    </row>
    <row r="116" spans="1:8" x14ac:dyDescent="0.55000000000000004">
      <c r="A116" s="23">
        <v>112</v>
      </c>
      <c r="B116" s="5">
        <v>6</v>
      </c>
      <c r="C116" s="5" t="s">
        <v>53</v>
      </c>
      <c r="D116" s="5">
        <v>4</v>
      </c>
      <c r="E116" s="5">
        <v>5</v>
      </c>
      <c r="F116" s="5">
        <v>7</v>
      </c>
      <c r="G116" s="5">
        <v>3</v>
      </c>
      <c r="H116" s="5"/>
    </row>
    <row r="117" spans="1:8" x14ac:dyDescent="0.55000000000000004">
      <c r="A117" s="23">
        <v>113</v>
      </c>
      <c r="B117" s="5">
        <v>4</v>
      </c>
      <c r="C117" s="5" t="s">
        <v>86</v>
      </c>
      <c r="D117" s="5">
        <v>2</v>
      </c>
      <c r="E117" s="5">
        <v>5</v>
      </c>
      <c r="F117" s="5">
        <v>3</v>
      </c>
      <c r="G117" s="5">
        <v>2</v>
      </c>
      <c r="H117" s="5"/>
    </row>
    <row r="118" spans="1:8" x14ac:dyDescent="0.55000000000000004">
      <c r="A118" s="23">
        <v>114</v>
      </c>
      <c r="B118" s="5">
        <v>4</v>
      </c>
      <c r="C118" s="5" t="s">
        <v>86</v>
      </c>
      <c r="D118" s="5">
        <v>4</v>
      </c>
      <c r="E118" s="5">
        <v>3</v>
      </c>
      <c r="F118" s="5">
        <v>7</v>
      </c>
      <c r="G118" s="5">
        <v>5</v>
      </c>
      <c r="H118" s="5"/>
    </row>
    <row r="119" spans="1:8" x14ac:dyDescent="0.55000000000000004">
      <c r="A119" s="23">
        <v>115</v>
      </c>
      <c r="B119" s="5">
        <v>2</v>
      </c>
      <c r="C119" s="5" t="s">
        <v>53</v>
      </c>
      <c r="D119" s="5">
        <v>2</v>
      </c>
      <c r="E119" s="5">
        <v>5</v>
      </c>
      <c r="F119" s="5">
        <v>5</v>
      </c>
      <c r="G119" s="5">
        <v>1</v>
      </c>
      <c r="H119" s="5"/>
    </row>
    <row r="120" spans="1:8" x14ac:dyDescent="0.55000000000000004">
      <c r="A120" s="23">
        <v>116</v>
      </c>
      <c r="B120" s="5">
        <v>6</v>
      </c>
      <c r="C120" s="5" t="s">
        <v>53</v>
      </c>
      <c r="D120" s="5">
        <v>5</v>
      </c>
      <c r="E120" s="5">
        <v>1</v>
      </c>
      <c r="F120" s="5">
        <v>3</v>
      </c>
      <c r="G120" s="5">
        <v>6</v>
      </c>
      <c r="H120" s="5"/>
    </row>
    <row r="121" spans="1:8" x14ac:dyDescent="0.55000000000000004">
      <c r="A121" s="23">
        <v>117</v>
      </c>
      <c r="B121" s="5">
        <v>3</v>
      </c>
      <c r="C121" s="5" t="s">
        <v>53</v>
      </c>
      <c r="D121" s="5">
        <v>2</v>
      </c>
      <c r="E121" s="5">
        <v>6</v>
      </c>
      <c r="F121" s="5">
        <v>4</v>
      </c>
      <c r="G121" s="5">
        <v>2</v>
      </c>
      <c r="H121" s="5"/>
    </row>
    <row r="122" spans="1:8" x14ac:dyDescent="0.55000000000000004">
      <c r="A122" s="23">
        <v>118</v>
      </c>
      <c r="B122" s="5">
        <v>4</v>
      </c>
      <c r="C122" s="5" t="s">
        <v>86</v>
      </c>
      <c r="D122" s="5">
        <v>3</v>
      </c>
      <c r="E122" s="5">
        <v>5</v>
      </c>
      <c r="F122" s="5">
        <v>3</v>
      </c>
      <c r="G122" s="5">
        <v>2</v>
      </c>
    </row>
  </sheetData>
  <sortState xmlns:xlrd2="http://schemas.microsoft.com/office/spreadsheetml/2017/richdata2" ref="A3:G122">
    <sortCondition ref="A3:A122"/>
  </sortState>
  <mergeCells count="1">
    <mergeCell ref="A1:G1"/>
  </mergeCells>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8E0A6-2800-497A-92F0-02EFBB9163D2}">
  <sheetPr>
    <tabColor rgb="FF00B0F0"/>
  </sheetPr>
  <dimension ref="A1:N121"/>
  <sheetViews>
    <sheetView zoomScale="59" zoomScaleNormal="25" workbookViewId="0">
      <selection activeCell="I11" sqref="I11"/>
    </sheetView>
  </sheetViews>
  <sheetFormatPr defaultRowHeight="14.4" x14ac:dyDescent="0.55000000000000004"/>
  <cols>
    <col min="1" max="1" width="18.41796875" style="43" customWidth="1"/>
    <col min="2" max="2" width="15.3125" customWidth="1"/>
    <col min="4" max="8" width="14.7890625" customWidth="1"/>
    <col min="9" max="9" width="9.3125" customWidth="1"/>
    <col min="12" max="12" width="19.20703125" customWidth="1"/>
    <col min="13" max="13" width="19.68359375" customWidth="1"/>
    <col min="14" max="14" width="16.89453125" customWidth="1"/>
  </cols>
  <sheetData>
    <row r="1" spans="1:14" x14ac:dyDescent="0.55000000000000004">
      <c r="A1" s="43" t="s">
        <v>273</v>
      </c>
      <c r="B1" t="s">
        <v>274</v>
      </c>
      <c r="C1" t="s">
        <v>275</v>
      </c>
      <c r="D1" t="s">
        <v>58</v>
      </c>
      <c r="E1" t="s">
        <v>57</v>
      </c>
      <c r="F1" t="s">
        <v>24</v>
      </c>
      <c r="G1" t="s">
        <v>224</v>
      </c>
      <c r="H1" t="s">
        <v>76</v>
      </c>
      <c r="I1" t="s">
        <v>27</v>
      </c>
      <c r="J1" t="s">
        <v>56</v>
      </c>
      <c r="K1" t="s">
        <v>31</v>
      </c>
      <c r="L1" t="s">
        <v>28</v>
      </c>
      <c r="M1" t="s">
        <v>29</v>
      </c>
      <c r="N1" t="s">
        <v>277</v>
      </c>
    </row>
    <row r="2" spans="1:14" x14ac:dyDescent="0.55000000000000004">
      <c r="A2" s="43">
        <v>45201</v>
      </c>
      <c r="B2">
        <v>2212</v>
      </c>
      <c r="C2">
        <v>157</v>
      </c>
      <c r="D2" t="s">
        <v>52</v>
      </c>
      <c r="E2">
        <v>1</v>
      </c>
      <c r="F2">
        <v>1.5</v>
      </c>
      <c r="G2">
        <v>3.5</v>
      </c>
      <c r="H2">
        <v>1</v>
      </c>
      <c r="I2">
        <v>4</v>
      </c>
      <c r="K2">
        <v>4</v>
      </c>
      <c r="L2">
        <v>5</v>
      </c>
      <c r="M2">
        <v>4</v>
      </c>
      <c r="N2">
        <f>IF(D2="Soap A",1,IF(D2="Soap B",2,""))</f>
        <v>2</v>
      </c>
    </row>
    <row r="3" spans="1:14" x14ac:dyDescent="0.55000000000000004">
      <c r="A3" s="43">
        <v>45201</v>
      </c>
      <c r="B3">
        <v>2215</v>
      </c>
      <c r="C3">
        <v>296</v>
      </c>
      <c r="D3" t="s">
        <v>52</v>
      </c>
      <c r="E3">
        <v>6</v>
      </c>
      <c r="F3">
        <v>1.5</v>
      </c>
      <c r="G3">
        <v>3</v>
      </c>
      <c r="H3">
        <v>3</v>
      </c>
      <c r="I3">
        <v>4</v>
      </c>
      <c r="K3">
        <v>4</v>
      </c>
      <c r="L3">
        <v>5</v>
      </c>
      <c r="M3">
        <v>4</v>
      </c>
      <c r="N3">
        <f t="shared" ref="N3:N66" si="0">IF(D3="Soap A",1,IF(D3="Soap B",2,""))</f>
        <v>2</v>
      </c>
    </row>
    <row r="4" spans="1:14" x14ac:dyDescent="0.55000000000000004">
      <c r="A4" s="43">
        <v>45202</v>
      </c>
      <c r="B4">
        <v>2216</v>
      </c>
      <c r="C4">
        <v>44</v>
      </c>
      <c r="D4" t="s">
        <v>52</v>
      </c>
      <c r="E4">
        <v>6</v>
      </c>
      <c r="F4">
        <v>1.5</v>
      </c>
      <c r="G4">
        <v>3</v>
      </c>
      <c r="H4">
        <v>3</v>
      </c>
      <c r="I4">
        <v>4</v>
      </c>
      <c r="J4" t="s">
        <v>88</v>
      </c>
      <c r="K4">
        <v>2</v>
      </c>
      <c r="L4">
        <v>7</v>
      </c>
      <c r="M4">
        <v>4</v>
      </c>
      <c r="N4">
        <f t="shared" si="0"/>
        <v>2</v>
      </c>
    </row>
    <row r="5" spans="1:14" x14ac:dyDescent="0.55000000000000004">
      <c r="A5" s="43">
        <v>45202</v>
      </c>
      <c r="B5">
        <v>2217</v>
      </c>
      <c r="C5">
        <v>194</v>
      </c>
      <c r="D5" t="s">
        <v>52</v>
      </c>
      <c r="E5">
        <v>6</v>
      </c>
      <c r="F5">
        <v>1.5</v>
      </c>
      <c r="G5">
        <v>2.5</v>
      </c>
      <c r="H5">
        <v>3</v>
      </c>
      <c r="I5">
        <v>4</v>
      </c>
      <c r="K5">
        <v>4</v>
      </c>
      <c r="L5">
        <v>5</v>
      </c>
      <c r="M5">
        <v>4</v>
      </c>
      <c r="N5">
        <f t="shared" si="0"/>
        <v>2</v>
      </c>
    </row>
    <row r="6" spans="1:14" x14ac:dyDescent="0.55000000000000004">
      <c r="A6" s="43">
        <v>45203</v>
      </c>
      <c r="B6">
        <v>2219</v>
      </c>
      <c r="C6">
        <v>73</v>
      </c>
      <c r="D6" t="s">
        <v>52</v>
      </c>
      <c r="E6">
        <v>1</v>
      </c>
      <c r="F6">
        <v>1.5</v>
      </c>
      <c r="G6">
        <v>3.5</v>
      </c>
      <c r="H6">
        <v>1</v>
      </c>
      <c r="I6">
        <v>1</v>
      </c>
      <c r="J6" t="s">
        <v>53</v>
      </c>
      <c r="K6">
        <v>4</v>
      </c>
      <c r="L6">
        <v>7</v>
      </c>
      <c r="M6">
        <v>3</v>
      </c>
      <c r="N6">
        <f t="shared" si="0"/>
        <v>2</v>
      </c>
    </row>
    <row r="7" spans="1:14" x14ac:dyDescent="0.55000000000000004">
      <c r="A7" s="43">
        <v>45204</v>
      </c>
      <c r="B7">
        <v>2224</v>
      </c>
      <c r="C7">
        <v>209</v>
      </c>
      <c r="D7" t="s">
        <v>52</v>
      </c>
      <c r="E7">
        <v>8</v>
      </c>
      <c r="F7">
        <v>1.5</v>
      </c>
      <c r="G7">
        <v>2.5</v>
      </c>
      <c r="H7">
        <v>4</v>
      </c>
      <c r="I7">
        <v>4</v>
      </c>
      <c r="K7">
        <v>4</v>
      </c>
      <c r="L7">
        <v>5</v>
      </c>
      <c r="M7">
        <v>4</v>
      </c>
      <c r="N7">
        <f t="shared" si="0"/>
        <v>2</v>
      </c>
    </row>
    <row r="8" spans="1:14" x14ac:dyDescent="0.55000000000000004">
      <c r="A8" s="43">
        <v>45205</v>
      </c>
      <c r="B8">
        <v>2227</v>
      </c>
      <c r="C8">
        <v>138</v>
      </c>
      <c r="D8" t="s">
        <v>52</v>
      </c>
      <c r="E8">
        <v>9</v>
      </c>
      <c r="F8">
        <v>1.5</v>
      </c>
      <c r="G8">
        <v>2.5</v>
      </c>
      <c r="H8">
        <v>5</v>
      </c>
      <c r="I8">
        <v>4</v>
      </c>
      <c r="K8">
        <v>4</v>
      </c>
      <c r="L8">
        <v>5</v>
      </c>
      <c r="M8">
        <v>4</v>
      </c>
      <c r="N8">
        <f t="shared" si="0"/>
        <v>2</v>
      </c>
    </row>
    <row r="9" spans="1:14" x14ac:dyDescent="0.55000000000000004">
      <c r="A9" s="43">
        <v>45205</v>
      </c>
      <c r="B9">
        <v>2228</v>
      </c>
      <c r="C9">
        <v>237</v>
      </c>
      <c r="D9" t="s">
        <v>52</v>
      </c>
      <c r="E9">
        <v>7</v>
      </c>
      <c r="F9">
        <v>1.5</v>
      </c>
      <c r="G9">
        <v>2.5</v>
      </c>
      <c r="H9">
        <v>4</v>
      </c>
      <c r="I9">
        <v>4</v>
      </c>
      <c r="K9">
        <v>4</v>
      </c>
      <c r="L9">
        <v>5</v>
      </c>
      <c r="M9">
        <v>4</v>
      </c>
      <c r="N9">
        <f t="shared" si="0"/>
        <v>2</v>
      </c>
    </row>
    <row r="10" spans="1:14" x14ac:dyDescent="0.55000000000000004">
      <c r="A10" s="43">
        <v>45205</v>
      </c>
      <c r="B10">
        <v>2229</v>
      </c>
      <c r="C10">
        <v>260</v>
      </c>
      <c r="D10" t="s">
        <v>52</v>
      </c>
      <c r="E10">
        <v>6</v>
      </c>
      <c r="F10">
        <v>1.5</v>
      </c>
      <c r="G10">
        <v>3</v>
      </c>
      <c r="H10">
        <v>3</v>
      </c>
      <c r="I10">
        <v>4</v>
      </c>
      <c r="K10">
        <v>4</v>
      </c>
      <c r="L10">
        <v>5</v>
      </c>
      <c r="M10">
        <v>4</v>
      </c>
      <c r="N10">
        <f t="shared" si="0"/>
        <v>2</v>
      </c>
    </row>
    <row r="11" spans="1:14" x14ac:dyDescent="0.55000000000000004">
      <c r="A11" s="43">
        <v>45206</v>
      </c>
      <c r="B11">
        <v>2230</v>
      </c>
      <c r="C11">
        <v>51</v>
      </c>
      <c r="D11" t="s">
        <v>52</v>
      </c>
      <c r="E11">
        <v>6</v>
      </c>
      <c r="F11">
        <v>1.5</v>
      </c>
      <c r="G11">
        <v>2.5</v>
      </c>
      <c r="H11">
        <v>3</v>
      </c>
      <c r="I11">
        <v>2</v>
      </c>
      <c r="J11" t="s">
        <v>86</v>
      </c>
      <c r="K11">
        <v>7</v>
      </c>
      <c r="L11">
        <v>3</v>
      </c>
      <c r="M11">
        <v>3</v>
      </c>
      <c r="N11">
        <f t="shared" si="0"/>
        <v>2</v>
      </c>
    </row>
    <row r="12" spans="1:14" x14ac:dyDescent="0.55000000000000004">
      <c r="A12" s="43">
        <v>45206</v>
      </c>
      <c r="B12">
        <v>2231</v>
      </c>
      <c r="C12">
        <v>82</v>
      </c>
      <c r="D12" t="s">
        <v>52</v>
      </c>
      <c r="E12">
        <v>6</v>
      </c>
      <c r="F12">
        <v>1.5</v>
      </c>
      <c r="G12">
        <v>3</v>
      </c>
      <c r="H12">
        <v>3</v>
      </c>
      <c r="I12">
        <v>3</v>
      </c>
      <c r="J12" t="s">
        <v>53</v>
      </c>
      <c r="K12">
        <v>1</v>
      </c>
      <c r="L12">
        <v>7</v>
      </c>
      <c r="M12">
        <v>5</v>
      </c>
      <c r="N12">
        <f t="shared" si="0"/>
        <v>2</v>
      </c>
    </row>
    <row r="13" spans="1:14" x14ac:dyDescent="0.55000000000000004">
      <c r="A13" s="43">
        <v>45206</v>
      </c>
      <c r="B13">
        <v>2232</v>
      </c>
      <c r="C13">
        <v>230</v>
      </c>
      <c r="D13" t="s">
        <v>52</v>
      </c>
      <c r="E13">
        <v>4</v>
      </c>
      <c r="F13">
        <v>1.5</v>
      </c>
      <c r="G13">
        <v>3</v>
      </c>
      <c r="H13">
        <v>2</v>
      </c>
      <c r="I13">
        <v>4</v>
      </c>
      <c r="K13">
        <v>4</v>
      </c>
      <c r="L13">
        <v>5</v>
      </c>
      <c r="M13">
        <v>4</v>
      </c>
      <c r="N13">
        <f t="shared" si="0"/>
        <v>2</v>
      </c>
    </row>
    <row r="14" spans="1:14" x14ac:dyDescent="0.55000000000000004">
      <c r="A14" s="43">
        <v>45207</v>
      </c>
      <c r="B14">
        <v>2233</v>
      </c>
      <c r="C14">
        <v>2</v>
      </c>
      <c r="D14" t="s">
        <v>52</v>
      </c>
      <c r="E14">
        <v>5</v>
      </c>
      <c r="F14">
        <v>1.5</v>
      </c>
      <c r="G14">
        <v>3</v>
      </c>
      <c r="H14">
        <v>3</v>
      </c>
      <c r="I14">
        <v>3</v>
      </c>
      <c r="J14" t="s">
        <v>86</v>
      </c>
      <c r="K14">
        <v>2</v>
      </c>
      <c r="L14">
        <v>7</v>
      </c>
      <c r="M14">
        <v>5</v>
      </c>
      <c r="N14">
        <f t="shared" si="0"/>
        <v>2</v>
      </c>
    </row>
    <row r="15" spans="1:14" x14ac:dyDescent="0.55000000000000004">
      <c r="A15" s="43">
        <v>45207</v>
      </c>
      <c r="B15">
        <v>2234</v>
      </c>
      <c r="C15">
        <v>78</v>
      </c>
      <c r="D15" t="s">
        <v>52</v>
      </c>
      <c r="E15">
        <v>2</v>
      </c>
      <c r="F15">
        <v>1.5</v>
      </c>
      <c r="G15">
        <v>3.5</v>
      </c>
      <c r="H15">
        <v>1</v>
      </c>
      <c r="I15">
        <v>4</v>
      </c>
      <c r="J15" t="s">
        <v>53</v>
      </c>
      <c r="K15">
        <v>4</v>
      </c>
      <c r="L15">
        <v>5</v>
      </c>
      <c r="M15">
        <v>6</v>
      </c>
      <c r="N15">
        <f t="shared" si="0"/>
        <v>2</v>
      </c>
    </row>
    <row r="16" spans="1:14" x14ac:dyDescent="0.55000000000000004">
      <c r="A16" s="43">
        <v>45207</v>
      </c>
      <c r="B16">
        <v>2236</v>
      </c>
      <c r="C16">
        <v>133</v>
      </c>
      <c r="D16" t="s">
        <v>52</v>
      </c>
      <c r="E16">
        <v>1</v>
      </c>
      <c r="F16">
        <v>1.5</v>
      </c>
      <c r="G16">
        <v>3.5</v>
      </c>
      <c r="H16">
        <v>1</v>
      </c>
      <c r="I16">
        <v>4</v>
      </c>
      <c r="K16">
        <v>4</v>
      </c>
      <c r="L16">
        <v>5</v>
      </c>
      <c r="M16">
        <v>4</v>
      </c>
      <c r="N16">
        <f t="shared" si="0"/>
        <v>2</v>
      </c>
    </row>
    <row r="17" spans="1:14" x14ac:dyDescent="0.55000000000000004">
      <c r="A17" s="43">
        <v>45207</v>
      </c>
      <c r="B17">
        <v>2239</v>
      </c>
      <c r="C17">
        <v>248</v>
      </c>
      <c r="D17" t="s">
        <v>52</v>
      </c>
      <c r="E17">
        <v>2</v>
      </c>
      <c r="F17">
        <v>1.5</v>
      </c>
      <c r="G17">
        <v>3.5</v>
      </c>
      <c r="H17">
        <v>1</v>
      </c>
      <c r="I17">
        <v>4</v>
      </c>
      <c r="K17">
        <v>4</v>
      </c>
      <c r="L17">
        <v>5</v>
      </c>
      <c r="M17">
        <v>4</v>
      </c>
      <c r="N17">
        <f t="shared" si="0"/>
        <v>2</v>
      </c>
    </row>
    <row r="18" spans="1:14" x14ac:dyDescent="0.55000000000000004">
      <c r="A18" s="43">
        <v>45207</v>
      </c>
      <c r="B18">
        <v>2240</v>
      </c>
      <c r="C18">
        <v>276</v>
      </c>
      <c r="D18" t="s">
        <v>52</v>
      </c>
      <c r="E18">
        <v>6</v>
      </c>
      <c r="F18">
        <v>1.5</v>
      </c>
      <c r="G18">
        <v>3</v>
      </c>
      <c r="H18">
        <v>3</v>
      </c>
      <c r="I18">
        <v>4</v>
      </c>
      <c r="K18">
        <v>4</v>
      </c>
      <c r="L18">
        <v>5</v>
      </c>
      <c r="M18">
        <v>4</v>
      </c>
      <c r="N18">
        <f t="shared" si="0"/>
        <v>2</v>
      </c>
    </row>
    <row r="19" spans="1:14" x14ac:dyDescent="0.55000000000000004">
      <c r="A19" s="43">
        <v>45208</v>
      </c>
      <c r="B19">
        <v>2242</v>
      </c>
      <c r="C19">
        <v>148</v>
      </c>
      <c r="D19" t="s">
        <v>52</v>
      </c>
      <c r="E19">
        <v>6</v>
      </c>
      <c r="F19">
        <v>1.5</v>
      </c>
      <c r="G19">
        <v>3</v>
      </c>
      <c r="H19">
        <v>3</v>
      </c>
      <c r="I19">
        <v>4</v>
      </c>
      <c r="K19">
        <v>4</v>
      </c>
      <c r="L19">
        <v>5</v>
      </c>
      <c r="M19">
        <v>4</v>
      </c>
      <c r="N19">
        <f t="shared" si="0"/>
        <v>2</v>
      </c>
    </row>
    <row r="20" spans="1:14" x14ac:dyDescent="0.55000000000000004">
      <c r="A20" s="43">
        <v>45208</v>
      </c>
      <c r="B20">
        <v>2243</v>
      </c>
      <c r="C20">
        <v>152</v>
      </c>
      <c r="D20" t="s">
        <v>52</v>
      </c>
      <c r="E20">
        <v>7</v>
      </c>
      <c r="F20">
        <v>1.5</v>
      </c>
      <c r="G20">
        <v>3</v>
      </c>
      <c r="H20">
        <v>4</v>
      </c>
      <c r="I20">
        <v>4</v>
      </c>
      <c r="K20">
        <v>4</v>
      </c>
      <c r="L20">
        <v>5</v>
      </c>
      <c r="M20">
        <v>4</v>
      </c>
      <c r="N20">
        <f t="shared" si="0"/>
        <v>2</v>
      </c>
    </row>
    <row r="21" spans="1:14" x14ac:dyDescent="0.55000000000000004">
      <c r="A21" s="43">
        <v>45209</v>
      </c>
      <c r="B21">
        <v>2246</v>
      </c>
      <c r="C21">
        <v>128</v>
      </c>
      <c r="D21" t="s">
        <v>52</v>
      </c>
      <c r="E21">
        <v>7</v>
      </c>
      <c r="F21">
        <v>1.5</v>
      </c>
      <c r="G21">
        <v>2.5</v>
      </c>
      <c r="H21">
        <v>4</v>
      </c>
      <c r="I21">
        <v>4</v>
      </c>
      <c r="K21">
        <v>4</v>
      </c>
      <c r="L21">
        <v>5</v>
      </c>
      <c r="M21">
        <v>4</v>
      </c>
      <c r="N21">
        <f t="shared" si="0"/>
        <v>2</v>
      </c>
    </row>
    <row r="22" spans="1:14" x14ac:dyDescent="0.55000000000000004">
      <c r="A22" s="43">
        <v>45209</v>
      </c>
      <c r="B22">
        <v>2247</v>
      </c>
      <c r="C22">
        <v>137</v>
      </c>
      <c r="D22" t="s">
        <v>52</v>
      </c>
      <c r="E22">
        <v>9</v>
      </c>
      <c r="F22">
        <v>1.5</v>
      </c>
      <c r="G22">
        <v>2.5</v>
      </c>
      <c r="H22">
        <v>5</v>
      </c>
      <c r="I22">
        <v>4</v>
      </c>
      <c r="K22">
        <v>4</v>
      </c>
      <c r="L22">
        <v>5</v>
      </c>
      <c r="M22">
        <v>4</v>
      </c>
      <c r="N22">
        <f t="shared" si="0"/>
        <v>2</v>
      </c>
    </row>
    <row r="23" spans="1:14" x14ac:dyDescent="0.55000000000000004">
      <c r="A23" s="43">
        <v>45209</v>
      </c>
      <c r="B23">
        <v>2248</v>
      </c>
      <c r="C23">
        <v>139</v>
      </c>
      <c r="D23" t="s">
        <v>52</v>
      </c>
      <c r="E23">
        <v>2</v>
      </c>
      <c r="F23">
        <v>1.5</v>
      </c>
      <c r="G23">
        <v>3.5</v>
      </c>
      <c r="H23">
        <v>1</v>
      </c>
      <c r="I23">
        <v>4</v>
      </c>
      <c r="K23">
        <v>4</v>
      </c>
      <c r="L23">
        <v>5</v>
      </c>
      <c r="M23">
        <v>4</v>
      </c>
      <c r="N23">
        <f t="shared" si="0"/>
        <v>2</v>
      </c>
    </row>
    <row r="24" spans="1:14" x14ac:dyDescent="0.55000000000000004">
      <c r="A24" s="43">
        <v>45209</v>
      </c>
      <c r="B24">
        <v>2250</v>
      </c>
      <c r="C24">
        <v>238</v>
      </c>
      <c r="D24" t="s">
        <v>52</v>
      </c>
      <c r="E24">
        <v>4</v>
      </c>
      <c r="F24">
        <v>1.5</v>
      </c>
      <c r="G24">
        <v>3</v>
      </c>
      <c r="H24">
        <v>2</v>
      </c>
      <c r="I24">
        <v>4</v>
      </c>
      <c r="K24">
        <v>4</v>
      </c>
      <c r="L24">
        <v>5</v>
      </c>
      <c r="M24">
        <v>4</v>
      </c>
      <c r="N24">
        <f t="shared" si="0"/>
        <v>2</v>
      </c>
    </row>
    <row r="25" spans="1:14" x14ac:dyDescent="0.55000000000000004">
      <c r="A25" s="43">
        <v>45209</v>
      </c>
      <c r="B25">
        <v>2251</v>
      </c>
      <c r="C25">
        <v>249</v>
      </c>
      <c r="D25" t="s">
        <v>52</v>
      </c>
      <c r="E25">
        <v>1</v>
      </c>
      <c r="F25">
        <v>1.5</v>
      </c>
      <c r="G25">
        <v>3.5</v>
      </c>
      <c r="H25">
        <v>1</v>
      </c>
      <c r="I25">
        <v>4</v>
      </c>
      <c r="K25">
        <v>4</v>
      </c>
      <c r="L25">
        <v>5</v>
      </c>
      <c r="M25">
        <v>4</v>
      </c>
      <c r="N25">
        <f t="shared" si="0"/>
        <v>2</v>
      </c>
    </row>
    <row r="26" spans="1:14" x14ac:dyDescent="0.55000000000000004">
      <c r="A26" s="43">
        <v>45209</v>
      </c>
      <c r="B26">
        <v>2252</v>
      </c>
      <c r="C26">
        <v>276</v>
      </c>
      <c r="D26" t="s">
        <v>52</v>
      </c>
      <c r="E26">
        <v>2</v>
      </c>
      <c r="F26">
        <v>1.5</v>
      </c>
      <c r="G26">
        <v>3.5</v>
      </c>
      <c r="H26">
        <v>1</v>
      </c>
      <c r="I26">
        <v>4</v>
      </c>
      <c r="K26">
        <v>4</v>
      </c>
      <c r="L26">
        <v>5</v>
      </c>
      <c r="M26">
        <v>4</v>
      </c>
      <c r="N26">
        <f t="shared" si="0"/>
        <v>2</v>
      </c>
    </row>
    <row r="27" spans="1:14" x14ac:dyDescent="0.55000000000000004">
      <c r="A27" s="43">
        <v>45210</v>
      </c>
      <c r="B27">
        <v>2253</v>
      </c>
      <c r="C27">
        <v>154</v>
      </c>
      <c r="D27" t="s">
        <v>52</v>
      </c>
      <c r="E27">
        <v>7</v>
      </c>
      <c r="F27">
        <v>1.5</v>
      </c>
      <c r="G27">
        <v>3</v>
      </c>
      <c r="H27">
        <v>4</v>
      </c>
      <c r="I27">
        <v>4</v>
      </c>
      <c r="K27">
        <v>4</v>
      </c>
      <c r="L27">
        <v>5</v>
      </c>
      <c r="M27">
        <v>4</v>
      </c>
      <c r="N27">
        <f t="shared" si="0"/>
        <v>2</v>
      </c>
    </row>
    <row r="28" spans="1:14" x14ac:dyDescent="0.55000000000000004">
      <c r="A28" s="43">
        <v>45210</v>
      </c>
      <c r="B28">
        <v>2254</v>
      </c>
      <c r="C28">
        <v>178</v>
      </c>
      <c r="D28" t="s">
        <v>52</v>
      </c>
      <c r="E28">
        <v>8</v>
      </c>
      <c r="F28">
        <v>1.5</v>
      </c>
      <c r="G28">
        <v>2.5</v>
      </c>
      <c r="H28">
        <v>4</v>
      </c>
      <c r="I28">
        <v>4</v>
      </c>
      <c r="K28">
        <v>4</v>
      </c>
      <c r="L28">
        <v>5</v>
      </c>
      <c r="M28">
        <v>4</v>
      </c>
      <c r="N28">
        <f t="shared" si="0"/>
        <v>2</v>
      </c>
    </row>
    <row r="29" spans="1:14" x14ac:dyDescent="0.55000000000000004">
      <c r="A29" s="43">
        <v>45211</v>
      </c>
      <c r="B29">
        <v>2255</v>
      </c>
      <c r="C29">
        <v>53</v>
      </c>
      <c r="D29" t="s">
        <v>52</v>
      </c>
      <c r="E29">
        <v>1</v>
      </c>
      <c r="F29">
        <v>1.5</v>
      </c>
      <c r="G29">
        <v>3.5</v>
      </c>
      <c r="H29">
        <v>1</v>
      </c>
      <c r="I29">
        <v>3</v>
      </c>
      <c r="J29" t="s">
        <v>86</v>
      </c>
      <c r="K29">
        <v>4</v>
      </c>
      <c r="L29">
        <v>6</v>
      </c>
      <c r="M29">
        <v>3</v>
      </c>
      <c r="N29">
        <f t="shared" si="0"/>
        <v>2</v>
      </c>
    </row>
    <row r="30" spans="1:14" x14ac:dyDescent="0.55000000000000004">
      <c r="A30" s="43">
        <v>45211</v>
      </c>
      <c r="B30">
        <v>2256</v>
      </c>
      <c r="C30">
        <v>89</v>
      </c>
      <c r="D30" t="s">
        <v>52</v>
      </c>
      <c r="E30">
        <v>7</v>
      </c>
      <c r="F30">
        <v>1.5</v>
      </c>
      <c r="G30">
        <v>2.5</v>
      </c>
      <c r="H30">
        <v>4</v>
      </c>
      <c r="I30">
        <v>4</v>
      </c>
      <c r="J30" t="s">
        <v>53</v>
      </c>
      <c r="K30">
        <v>3</v>
      </c>
      <c r="L30">
        <v>7</v>
      </c>
      <c r="M30">
        <v>4</v>
      </c>
      <c r="N30">
        <f t="shared" si="0"/>
        <v>2</v>
      </c>
    </row>
    <row r="31" spans="1:14" x14ac:dyDescent="0.55000000000000004">
      <c r="A31" s="43">
        <v>45211</v>
      </c>
      <c r="B31">
        <v>2259</v>
      </c>
      <c r="C31">
        <v>227</v>
      </c>
      <c r="D31" t="s">
        <v>52</v>
      </c>
      <c r="E31">
        <v>9</v>
      </c>
      <c r="F31">
        <v>1.5</v>
      </c>
      <c r="G31">
        <v>2.5</v>
      </c>
      <c r="H31">
        <v>5</v>
      </c>
      <c r="I31">
        <v>4</v>
      </c>
      <c r="K31">
        <v>4</v>
      </c>
      <c r="L31">
        <v>5</v>
      </c>
      <c r="M31">
        <v>4</v>
      </c>
      <c r="N31">
        <f t="shared" si="0"/>
        <v>2</v>
      </c>
    </row>
    <row r="32" spans="1:14" x14ac:dyDescent="0.55000000000000004">
      <c r="A32" s="43">
        <v>45211</v>
      </c>
      <c r="B32">
        <v>2260</v>
      </c>
      <c r="C32">
        <v>231</v>
      </c>
      <c r="D32" t="s">
        <v>52</v>
      </c>
      <c r="E32">
        <v>1</v>
      </c>
      <c r="F32">
        <v>1.5</v>
      </c>
      <c r="G32">
        <v>3.5</v>
      </c>
      <c r="H32">
        <v>1</v>
      </c>
      <c r="I32">
        <v>4</v>
      </c>
      <c r="K32">
        <v>4</v>
      </c>
      <c r="L32">
        <v>5</v>
      </c>
      <c r="M32">
        <v>4</v>
      </c>
      <c r="N32">
        <f t="shared" si="0"/>
        <v>2</v>
      </c>
    </row>
    <row r="33" spans="1:14" x14ac:dyDescent="0.55000000000000004">
      <c r="A33" s="43">
        <v>45212</v>
      </c>
      <c r="B33">
        <v>2262</v>
      </c>
      <c r="C33">
        <v>120</v>
      </c>
      <c r="D33" t="s">
        <v>52</v>
      </c>
      <c r="E33">
        <v>7</v>
      </c>
      <c r="F33">
        <v>1.5</v>
      </c>
      <c r="G33">
        <v>3</v>
      </c>
      <c r="H33">
        <v>4</v>
      </c>
      <c r="I33">
        <v>4</v>
      </c>
      <c r="K33">
        <v>4</v>
      </c>
      <c r="L33">
        <v>5</v>
      </c>
      <c r="M33">
        <v>4</v>
      </c>
      <c r="N33">
        <f t="shared" si="0"/>
        <v>2</v>
      </c>
    </row>
    <row r="34" spans="1:14" x14ac:dyDescent="0.55000000000000004">
      <c r="A34" s="43">
        <v>45212</v>
      </c>
      <c r="B34">
        <v>2263</v>
      </c>
      <c r="C34">
        <v>141</v>
      </c>
      <c r="D34" t="s">
        <v>52</v>
      </c>
      <c r="E34">
        <v>6</v>
      </c>
      <c r="F34">
        <v>1.5</v>
      </c>
      <c r="G34">
        <v>2.5</v>
      </c>
      <c r="H34">
        <v>3</v>
      </c>
      <c r="I34">
        <v>4</v>
      </c>
      <c r="K34">
        <v>4</v>
      </c>
      <c r="L34">
        <v>5</v>
      </c>
      <c r="M34">
        <v>4</v>
      </c>
      <c r="N34">
        <f t="shared" si="0"/>
        <v>2</v>
      </c>
    </row>
    <row r="35" spans="1:14" x14ac:dyDescent="0.55000000000000004">
      <c r="A35" s="43">
        <v>45212</v>
      </c>
      <c r="B35">
        <v>2264</v>
      </c>
      <c r="C35">
        <v>249</v>
      </c>
      <c r="D35" t="s">
        <v>52</v>
      </c>
      <c r="E35">
        <v>1</v>
      </c>
      <c r="F35">
        <v>1.5</v>
      </c>
      <c r="G35">
        <v>3.5</v>
      </c>
      <c r="H35">
        <v>1</v>
      </c>
      <c r="I35">
        <v>4</v>
      </c>
      <c r="K35">
        <v>4</v>
      </c>
      <c r="L35">
        <v>5</v>
      </c>
      <c r="M35">
        <v>4</v>
      </c>
      <c r="N35">
        <f t="shared" si="0"/>
        <v>2</v>
      </c>
    </row>
    <row r="36" spans="1:14" x14ac:dyDescent="0.55000000000000004">
      <c r="A36" s="43">
        <v>45213</v>
      </c>
      <c r="B36">
        <v>2266</v>
      </c>
      <c r="C36">
        <v>128</v>
      </c>
      <c r="D36" t="s">
        <v>52</v>
      </c>
      <c r="E36">
        <v>9</v>
      </c>
      <c r="F36">
        <v>1.5</v>
      </c>
      <c r="G36">
        <v>2.5</v>
      </c>
      <c r="H36">
        <v>5</v>
      </c>
      <c r="I36">
        <v>4</v>
      </c>
      <c r="K36">
        <v>4</v>
      </c>
      <c r="L36">
        <v>5</v>
      </c>
      <c r="M36">
        <v>4</v>
      </c>
      <c r="N36">
        <f t="shared" si="0"/>
        <v>2</v>
      </c>
    </row>
    <row r="37" spans="1:14" x14ac:dyDescent="0.55000000000000004">
      <c r="A37" s="43">
        <v>45214</v>
      </c>
      <c r="B37">
        <v>2271</v>
      </c>
      <c r="C37">
        <v>163</v>
      </c>
      <c r="D37" t="s">
        <v>52</v>
      </c>
      <c r="E37">
        <v>2</v>
      </c>
      <c r="F37">
        <v>1.5</v>
      </c>
      <c r="G37">
        <v>3.5</v>
      </c>
      <c r="H37">
        <v>1</v>
      </c>
      <c r="I37">
        <v>4</v>
      </c>
      <c r="K37">
        <v>4</v>
      </c>
      <c r="L37">
        <v>5</v>
      </c>
      <c r="M37">
        <v>4</v>
      </c>
      <c r="N37">
        <f t="shared" si="0"/>
        <v>2</v>
      </c>
    </row>
    <row r="38" spans="1:14" x14ac:dyDescent="0.55000000000000004">
      <c r="A38" s="43">
        <v>45215</v>
      </c>
      <c r="B38">
        <v>2275</v>
      </c>
      <c r="C38">
        <v>168</v>
      </c>
      <c r="D38" t="s">
        <v>52</v>
      </c>
      <c r="E38">
        <v>6</v>
      </c>
      <c r="F38">
        <v>1.5</v>
      </c>
      <c r="G38">
        <v>2.5</v>
      </c>
      <c r="H38">
        <v>3</v>
      </c>
      <c r="I38">
        <v>4</v>
      </c>
      <c r="K38">
        <v>4</v>
      </c>
      <c r="L38">
        <v>5</v>
      </c>
      <c r="M38">
        <v>4</v>
      </c>
      <c r="N38">
        <f t="shared" si="0"/>
        <v>2</v>
      </c>
    </row>
    <row r="39" spans="1:14" x14ac:dyDescent="0.55000000000000004">
      <c r="A39" s="43">
        <v>45216</v>
      </c>
      <c r="B39">
        <v>2278</v>
      </c>
      <c r="C39">
        <v>53</v>
      </c>
      <c r="D39" t="s">
        <v>52</v>
      </c>
      <c r="E39">
        <v>1</v>
      </c>
      <c r="F39">
        <v>1.5</v>
      </c>
      <c r="G39">
        <v>3.5</v>
      </c>
      <c r="H39">
        <v>1</v>
      </c>
      <c r="I39">
        <v>3</v>
      </c>
      <c r="J39" t="s">
        <v>86</v>
      </c>
      <c r="K39">
        <v>4</v>
      </c>
      <c r="L39">
        <v>6</v>
      </c>
      <c r="M39">
        <v>3</v>
      </c>
      <c r="N39">
        <f t="shared" si="0"/>
        <v>2</v>
      </c>
    </row>
    <row r="40" spans="1:14" x14ac:dyDescent="0.55000000000000004">
      <c r="A40" s="43">
        <v>45216</v>
      </c>
      <c r="B40">
        <v>2279</v>
      </c>
      <c r="C40">
        <v>90</v>
      </c>
      <c r="D40" t="s">
        <v>52</v>
      </c>
      <c r="E40">
        <v>6</v>
      </c>
      <c r="F40">
        <v>1.5</v>
      </c>
      <c r="G40">
        <v>3</v>
      </c>
      <c r="H40">
        <v>3</v>
      </c>
      <c r="I40">
        <v>7</v>
      </c>
      <c r="J40" t="s">
        <v>53</v>
      </c>
      <c r="K40">
        <v>3</v>
      </c>
      <c r="L40">
        <v>7</v>
      </c>
      <c r="M40">
        <v>3</v>
      </c>
      <c r="N40">
        <f t="shared" si="0"/>
        <v>2</v>
      </c>
    </row>
    <row r="41" spans="1:14" x14ac:dyDescent="0.55000000000000004">
      <c r="A41" s="43">
        <v>45217</v>
      </c>
      <c r="B41">
        <v>2281</v>
      </c>
      <c r="C41">
        <v>37</v>
      </c>
      <c r="D41" t="s">
        <v>52</v>
      </c>
      <c r="E41">
        <v>4</v>
      </c>
      <c r="F41">
        <v>1.5</v>
      </c>
      <c r="G41">
        <v>3</v>
      </c>
      <c r="H41">
        <v>2</v>
      </c>
      <c r="I41">
        <v>7</v>
      </c>
      <c r="J41" t="s">
        <v>53</v>
      </c>
      <c r="K41">
        <v>5</v>
      </c>
      <c r="L41">
        <v>3</v>
      </c>
      <c r="M41">
        <v>1</v>
      </c>
      <c r="N41">
        <f t="shared" si="0"/>
        <v>2</v>
      </c>
    </row>
    <row r="42" spans="1:14" x14ac:dyDescent="0.55000000000000004">
      <c r="A42" s="43">
        <v>45217</v>
      </c>
      <c r="B42">
        <v>2283</v>
      </c>
      <c r="C42">
        <v>259</v>
      </c>
      <c r="D42" t="s">
        <v>52</v>
      </c>
      <c r="E42">
        <v>9</v>
      </c>
      <c r="F42">
        <v>1.5</v>
      </c>
      <c r="G42">
        <v>2.5</v>
      </c>
      <c r="H42">
        <v>5</v>
      </c>
      <c r="I42">
        <v>4</v>
      </c>
      <c r="K42">
        <v>4</v>
      </c>
      <c r="L42">
        <v>5</v>
      </c>
      <c r="M42">
        <v>4</v>
      </c>
      <c r="N42">
        <f t="shared" si="0"/>
        <v>2</v>
      </c>
    </row>
    <row r="43" spans="1:14" x14ac:dyDescent="0.55000000000000004">
      <c r="A43" s="43">
        <v>45218</v>
      </c>
      <c r="B43">
        <v>2284</v>
      </c>
      <c r="C43">
        <v>14</v>
      </c>
      <c r="D43" t="s">
        <v>52</v>
      </c>
      <c r="E43">
        <v>2</v>
      </c>
      <c r="F43">
        <v>1.5</v>
      </c>
      <c r="G43">
        <v>3.5</v>
      </c>
      <c r="H43">
        <v>1</v>
      </c>
      <c r="I43">
        <v>3</v>
      </c>
      <c r="J43" t="s">
        <v>86</v>
      </c>
      <c r="K43">
        <v>4</v>
      </c>
      <c r="L43">
        <v>3</v>
      </c>
      <c r="M43">
        <v>7</v>
      </c>
      <c r="N43">
        <f t="shared" si="0"/>
        <v>2</v>
      </c>
    </row>
    <row r="44" spans="1:14" x14ac:dyDescent="0.55000000000000004">
      <c r="A44" s="43">
        <v>45218</v>
      </c>
      <c r="B44">
        <v>2286</v>
      </c>
      <c r="C44">
        <v>60</v>
      </c>
      <c r="D44" t="s">
        <v>52</v>
      </c>
      <c r="E44">
        <v>1</v>
      </c>
      <c r="F44">
        <v>1.5</v>
      </c>
      <c r="G44">
        <v>3.5</v>
      </c>
      <c r="H44">
        <v>1</v>
      </c>
      <c r="I44">
        <v>6</v>
      </c>
      <c r="J44" t="s">
        <v>53</v>
      </c>
      <c r="K44">
        <v>6</v>
      </c>
      <c r="L44">
        <v>1</v>
      </c>
      <c r="M44">
        <v>2</v>
      </c>
      <c r="N44">
        <f t="shared" si="0"/>
        <v>2</v>
      </c>
    </row>
    <row r="45" spans="1:14" x14ac:dyDescent="0.55000000000000004">
      <c r="A45" s="43">
        <v>45218</v>
      </c>
      <c r="B45">
        <v>2287</v>
      </c>
      <c r="C45">
        <v>130</v>
      </c>
      <c r="D45" t="s">
        <v>52</v>
      </c>
      <c r="E45">
        <v>9</v>
      </c>
      <c r="F45">
        <v>1.5</v>
      </c>
      <c r="G45">
        <v>2.5</v>
      </c>
      <c r="H45">
        <v>5</v>
      </c>
      <c r="I45">
        <v>4</v>
      </c>
      <c r="K45">
        <v>4</v>
      </c>
      <c r="L45">
        <v>5</v>
      </c>
      <c r="M45">
        <v>4</v>
      </c>
      <c r="N45">
        <f t="shared" si="0"/>
        <v>2</v>
      </c>
    </row>
    <row r="46" spans="1:14" x14ac:dyDescent="0.55000000000000004">
      <c r="A46" s="43">
        <v>45218</v>
      </c>
      <c r="B46">
        <v>2288</v>
      </c>
      <c r="C46">
        <v>174</v>
      </c>
      <c r="D46" t="s">
        <v>52</v>
      </c>
      <c r="E46">
        <v>1</v>
      </c>
      <c r="F46">
        <v>1.5</v>
      </c>
      <c r="G46">
        <v>3.5</v>
      </c>
      <c r="H46">
        <v>1</v>
      </c>
      <c r="I46">
        <v>4</v>
      </c>
      <c r="K46">
        <v>4</v>
      </c>
      <c r="L46">
        <v>5</v>
      </c>
      <c r="M46">
        <v>4</v>
      </c>
      <c r="N46">
        <f t="shared" si="0"/>
        <v>2</v>
      </c>
    </row>
    <row r="47" spans="1:14" x14ac:dyDescent="0.55000000000000004">
      <c r="A47" s="43">
        <v>45218</v>
      </c>
      <c r="B47">
        <v>2290</v>
      </c>
      <c r="C47">
        <v>284</v>
      </c>
      <c r="D47" t="s">
        <v>52</v>
      </c>
      <c r="E47">
        <v>2</v>
      </c>
      <c r="F47">
        <v>1.5</v>
      </c>
      <c r="G47">
        <v>3.5</v>
      </c>
      <c r="H47">
        <v>1</v>
      </c>
      <c r="I47">
        <v>4</v>
      </c>
      <c r="K47">
        <v>4</v>
      </c>
      <c r="L47">
        <v>5</v>
      </c>
      <c r="M47">
        <v>4</v>
      </c>
      <c r="N47">
        <f t="shared" si="0"/>
        <v>2</v>
      </c>
    </row>
    <row r="48" spans="1:14" x14ac:dyDescent="0.55000000000000004">
      <c r="A48" s="43">
        <v>45219</v>
      </c>
      <c r="B48">
        <v>2291</v>
      </c>
      <c r="C48">
        <v>56</v>
      </c>
      <c r="D48" t="s">
        <v>52</v>
      </c>
      <c r="E48">
        <v>7</v>
      </c>
      <c r="F48">
        <v>1.5</v>
      </c>
      <c r="G48">
        <v>3</v>
      </c>
      <c r="H48">
        <v>4</v>
      </c>
      <c r="I48">
        <v>7</v>
      </c>
      <c r="J48" t="s">
        <v>94</v>
      </c>
      <c r="K48">
        <v>4</v>
      </c>
      <c r="L48">
        <v>5</v>
      </c>
      <c r="M48">
        <v>6</v>
      </c>
      <c r="N48">
        <f t="shared" si="0"/>
        <v>2</v>
      </c>
    </row>
    <row r="49" spans="1:14" x14ac:dyDescent="0.55000000000000004">
      <c r="A49" s="43">
        <v>45221</v>
      </c>
      <c r="B49">
        <v>2299</v>
      </c>
      <c r="C49">
        <v>140</v>
      </c>
      <c r="D49" t="s">
        <v>52</v>
      </c>
      <c r="E49">
        <v>9</v>
      </c>
      <c r="F49">
        <v>1.5</v>
      </c>
      <c r="G49">
        <v>2.5</v>
      </c>
      <c r="H49">
        <v>5</v>
      </c>
      <c r="I49">
        <v>4</v>
      </c>
      <c r="K49">
        <v>4</v>
      </c>
      <c r="L49">
        <v>5</v>
      </c>
      <c r="M49">
        <v>4</v>
      </c>
      <c r="N49">
        <f t="shared" si="0"/>
        <v>2</v>
      </c>
    </row>
    <row r="50" spans="1:14" x14ac:dyDescent="0.55000000000000004">
      <c r="A50" s="43">
        <v>45221</v>
      </c>
      <c r="B50">
        <v>2300</v>
      </c>
      <c r="C50">
        <v>205</v>
      </c>
      <c r="D50" t="s">
        <v>52</v>
      </c>
      <c r="E50">
        <v>7</v>
      </c>
      <c r="F50">
        <v>1.5</v>
      </c>
      <c r="G50">
        <v>3</v>
      </c>
      <c r="H50">
        <v>4</v>
      </c>
      <c r="I50">
        <v>4</v>
      </c>
      <c r="K50">
        <v>4</v>
      </c>
      <c r="L50">
        <v>5</v>
      </c>
      <c r="M50">
        <v>4</v>
      </c>
      <c r="N50">
        <f t="shared" si="0"/>
        <v>2</v>
      </c>
    </row>
    <row r="51" spans="1:14" x14ac:dyDescent="0.55000000000000004">
      <c r="A51" s="43">
        <v>45222</v>
      </c>
      <c r="B51">
        <v>2303</v>
      </c>
      <c r="C51">
        <v>91</v>
      </c>
      <c r="D51" t="s">
        <v>52</v>
      </c>
      <c r="E51">
        <v>1</v>
      </c>
      <c r="F51">
        <v>1.5</v>
      </c>
      <c r="G51">
        <v>3.5</v>
      </c>
      <c r="H51">
        <v>1</v>
      </c>
      <c r="I51">
        <v>3</v>
      </c>
      <c r="J51" t="s">
        <v>53</v>
      </c>
      <c r="K51">
        <v>1</v>
      </c>
      <c r="L51">
        <v>7</v>
      </c>
      <c r="M51">
        <v>5</v>
      </c>
      <c r="N51">
        <f t="shared" si="0"/>
        <v>2</v>
      </c>
    </row>
    <row r="52" spans="1:14" x14ac:dyDescent="0.55000000000000004">
      <c r="A52" s="43">
        <v>45222</v>
      </c>
      <c r="B52">
        <v>2305</v>
      </c>
      <c r="C52">
        <v>239</v>
      </c>
      <c r="D52" t="s">
        <v>52</v>
      </c>
      <c r="E52">
        <v>1</v>
      </c>
      <c r="F52">
        <v>1.5</v>
      </c>
      <c r="G52">
        <v>3.5</v>
      </c>
      <c r="H52">
        <v>1</v>
      </c>
      <c r="I52">
        <v>4</v>
      </c>
      <c r="K52">
        <v>4</v>
      </c>
      <c r="L52">
        <v>5</v>
      </c>
      <c r="M52">
        <v>4</v>
      </c>
      <c r="N52">
        <f t="shared" si="0"/>
        <v>2</v>
      </c>
    </row>
    <row r="53" spans="1:14" x14ac:dyDescent="0.55000000000000004">
      <c r="A53" s="43">
        <v>45222</v>
      </c>
      <c r="B53">
        <v>2306</v>
      </c>
      <c r="C53">
        <v>255</v>
      </c>
      <c r="D53" t="s">
        <v>52</v>
      </c>
      <c r="E53">
        <v>9</v>
      </c>
      <c r="F53">
        <v>1.5</v>
      </c>
      <c r="G53">
        <v>2.5</v>
      </c>
      <c r="H53">
        <v>5</v>
      </c>
      <c r="I53">
        <v>4</v>
      </c>
      <c r="K53">
        <v>4</v>
      </c>
      <c r="L53">
        <v>5</v>
      </c>
      <c r="M53">
        <v>4</v>
      </c>
      <c r="N53">
        <f t="shared" si="0"/>
        <v>2</v>
      </c>
    </row>
    <row r="54" spans="1:14" x14ac:dyDescent="0.55000000000000004">
      <c r="A54" s="43">
        <v>45226</v>
      </c>
      <c r="B54">
        <v>2316</v>
      </c>
      <c r="C54">
        <v>180</v>
      </c>
      <c r="D54" t="s">
        <v>52</v>
      </c>
      <c r="E54">
        <v>5</v>
      </c>
      <c r="F54">
        <v>1.5</v>
      </c>
      <c r="G54">
        <v>3</v>
      </c>
      <c r="H54">
        <v>3</v>
      </c>
      <c r="I54">
        <v>4</v>
      </c>
      <c r="K54">
        <v>4</v>
      </c>
      <c r="L54">
        <v>5</v>
      </c>
      <c r="M54">
        <v>4</v>
      </c>
      <c r="N54">
        <f t="shared" si="0"/>
        <v>2</v>
      </c>
    </row>
    <row r="55" spans="1:14" x14ac:dyDescent="0.55000000000000004">
      <c r="A55" s="43">
        <v>45226</v>
      </c>
      <c r="B55">
        <v>2317</v>
      </c>
      <c r="C55">
        <v>268</v>
      </c>
      <c r="D55" t="s">
        <v>52</v>
      </c>
      <c r="E55">
        <v>6</v>
      </c>
      <c r="F55">
        <v>1.5</v>
      </c>
      <c r="G55">
        <v>2.5</v>
      </c>
      <c r="H55">
        <v>3</v>
      </c>
      <c r="I55">
        <v>4</v>
      </c>
      <c r="K55">
        <v>4</v>
      </c>
      <c r="L55">
        <v>5</v>
      </c>
      <c r="M55">
        <v>4</v>
      </c>
      <c r="N55">
        <f t="shared" si="0"/>
        <v>2</v>
      </c>
    </row>
    <row r="56" spans="1:14" x14ac:dyDescent="0.55000000000000004">
      <c r="A56" s="43">
        <v>45227</v>
      </c>
      <c r="B56">
        <v>2319</v>
      </c>
      <c r="C56">
        <v>225</v>
      </c>
      <c r="D56" t="s">
        <v>52</v>
      </c>
      <c r="E56">
        <v>2</v>
      </c>
      <c r="F56">
        <v>1.5</v>
      </c>
      <c r="G56">
        <v>3.5</v>
      </c>
      <c r="H56">
        <v>1</v>
      </c>
      <c r="I56">
        <v>4</v>
      </c>
      <c r="K56">
        <v>4</v>
      </c>
      <c r="L56">
        <v>5</v>
      </c>
      <c r="M56">
        <v>4</v>
      </c>
      <c r="N56">
        <f t="shared" si="0"/>
        <v>2</v>
      </c>
    </row>
    <row r="57" spans="1:14" x14ac:dyDescent="0.55000000000000004">
      <c r="A57" s="43">
        <v>45228</v>
      </c>
      <c r="B57">
        <v>2324</v>
      </c>
      <c r="C57">
        <v>297</v>
      </c>
      <c r="D57" t="s">
        <v>52</v>
      </c>
      <c r="E57">
        <v>6</v>
      </c>
      <c r="F57">
        <v>1.5</v>
      </c>
      <c r="G57">
        <v>2.5</v>
      </c>
      <c r="H57">
        <v>3</v>
      </c>
      <c r="I57">
        <v>4</v>
      </c>
      <c r="K57">
        <v>4</v>
      </c>
      <c r="L57">
        <v>5</v>
      </c>
      <c r="M57">
        <v>4</v>
      </c>
      <c r="N57">
        <f t="shared" si="0"/>
        <v>2</v>
      </c>
    </row>
    <row r="58" spans="1:14" x14ac:dyDescent="0.55000000000000004">
      <c r="A58" s="43">
        <v>45229</v>
      </c>
      <c r="B58">
        <v>2327</v>
      </c>
      <c r="C58">
        <v>99</v>
      </c>
      <c r="D58" t="s">
        <v>52</v>
      </c>
      <c r="E58">
        <v>5</v>
      </c>
      <c r="F58">
        <v>1.5</v>
      </c>
      <c r="G58">
        <v>3</v>
      </c>
      <c r="H58">
        <v>3</v>
      </c>
      <c r="I58">
        <v>1</v>
      </c>
      <c r="J58" t="s">
        <v>53</v>
      </c>
      <c r="K58">
        <v>5</v>
      </c>
      <c r="L58">
        <v>5</v>
      </c>
      <c r="M58">
        <v>7</v>
      </c>
      <c r="N58">
        <f t="shared" si="0"/>
        <v>2</v>
      </c>
    </row>
    <row r="59" spans="1:14" x14ac:dyDescent="0.55000000000000004">
      <c r="A59" s="43">
        <v>45229</v>
      </c>
      <c r="B59">
        <v>2328</v>
      </c>
      <c r="C59">
        <v>129</v>
      </c>
      <c r="D59" t="s">
        <v>52</v>
      </c>
      <c r="E59">
        <v>4</v>
      </c>
      <c r="F59">
        <v>1.5</v>
      </c>
      <c r="G59">
        <v>3</v>
      </c>
      <c r="H59">
        <v>2</v>
      </c>
      <c r="I59">
        <v>4</v>
      </c>
      <c r="K59">
        <v>4</v>
      </c>
      <c r="L59">
        <v>5</v>
      </c>
      <c r="M59">
        <v>4</v>
      </c>
      <c r="N59">
        <f t="shared" si="0"/>
        <v>2</v>
      </c>
    </row>
    <row r="60" spans="1:14" x14ac:dyDescent="0.55000000000000004">
      <c r="A60" s="43">
        <v>45229</v>
      </c>
      <c r="B60">
        <v>2329</v>
      </c>
      <c r="C60">
        <v>172</v>
      </c>
      <c r="D60" t="s">
        <v>52</v>
      </c>
      <c r="E60">
        <v>7</v>
      </c>
      <c r="F60">
        <v>1.5</v>
      </c>
      <c r="G60">
        <v>3</v>
      </c>
      <c r="H60">
        <v>4</v>
      </c>
      <c r="I60">
        <v>4</v>
      </c>
      <c r="K60">
        <v>4</v>
      </c>
      <c r="L60">
        <v>5</v>
      </c>
      <c r="M60">
        <v>4</v>
      </c>
      <c r="N60">
        <f t="shared" si="0"/>
        <v>2</v>
      </c>
    </row>
    <row r="61" spans="1:14" x14ac:dyDescent="0.55000000000000004">
      <c r="A61" s="43">
        <v>45201</v>
      </c>
      <c r="B61">
        <v>2213</v>
      </c>
      <c r="C61">
        <v>199</v>
      </c>
      <c r="D61" t="s">
        <v>25</v>
      </c>
      <c r="E61">
        <v>1</v>
      </c>
      <c r="F61">
        <v>1</v>
      </c>
      <c r="G61">
        <v>2.2999999999999998</v>
      </c>
      <c r="H61">
        <v>0</v>
      </c>
      <c r="I61">
        <v>4</v>
      </c>
      <c r="K61">
        <v>4</v>
      </c>
      <c r="L61">
        <v>5</v>
      </c>
      <c r="M61">
        <v>4</v>
      </c>
      <c r="N61">
        <f t="shared" si="0"/>
        <v>1</v>
      </c>
    </row>
    <row r="62" spans="1:14" x14ac:dyDescent="0.55000000000000004">
      <c r="A62" s="43">
        <v>45201</v>
      </c>
      <c r="B62">
        <v>2214</v>
      </c>
      <c r="C62">
        <v>203</v>
      </c>
      <c r="D62" t="s">
        <v>25</v>
      </c>
      <c r="E62">
        <v>7</v>
      </c>
      <c r="F62">
        <v>1</v>
      </c>
      <c r="G62">
        <v>2.2999999999999998</v>
      </c>
      <c r="H62">
        <v>2</v>
      </c>
      <c r="I62">
        <v>4</v>
      </c>
      <c r="K62">
        <v>4</v>
      </c>
      <c r="L62">
        <v>5</v>
      </c>
      <c r="M62">
        <v>4</v>
      </c>
      <c r="N62">
        <f t="shared" si="0"/>
        <v>1</v>
      </c>
    </row>
    <row r="63" spans="1:14" x14ac:dyDescent="0.55000000000000004">
      <c r="A63" s="43">
        <v>45203</v>
      </c>
      <c r="B63">
        <v>2218</v>
      </c>
      <c r="C63">
        <v>62</v>
      </c>
      <c r="D63" t="s">
        <v>25</v>
      </c>
      <c r="E63">
        <v>2</v>
      </c>
      <c r="F63">
        <v>1</v>
      </c>
      <c r="G63">
        <v>2.2999999999999998</v>
      </c>
      <c r="H63">
        <v>0</v>
      </c>
      <c r="I63">
        <v>5</v>
      </c>
      <c r="J63" t="s">
        <v>53</v>
      </c>
      <c r="K63">
        <v>5</v>
      </c>
      <c r="L63">
        <v>2</v>
      </c>
      <c r="M63">
        <v>3</v>
      </c>
      <c r="N63">
        <f t="shared" si="0"/>
        <v>1</v>
      </c>
    </row>
    <row r="64" spans="1:14" x14ac:dyDescent="0.55000000000000004">
      <c r="A64" s="43">
        <v>45203</v>
      </c>
      <c r="B64">
        <v>2220</v>
      </c>
      <c r="C64">
        <v>83</v>
      </c>
      <c r="D64" t="s">
        <v>25</v>
      </c>
      <c r="E64">
        <v>9</v>
      </c>
      <c r="F64">
        <v>1</v>
      </c>
      <c r="G64">
        <v>2</v>
      </c>
      <c r="H64">
        <v>2</v>
      </c>
      <c r="I64">
        <v>7</v>
      </c>
      <c r="J64" t="s">
        <v>53</v>
      </c>
      <c r="K64">
        <v>5</v>
      </c>
      <c r="L64">
        <v>3</v>
      </c>
      <c r="M64">
        <v>1</v>
      </c>
      <c r="N64">
        <f t="shared" si="0"/>
        <v>1</v>
      </c>
    </row>
    <row r="65" spans="1:14" x14ac:dyDescent="0.55000000000000004">
      <c r="A65" s="43">
        <v>45203</v>
      </c>
      <c r="B65">
        <v>2221</v>
      </c>
      <c r="C65">
        <v>192</v>
      </c>
      <c r="D65" t="s">
        <v>25</v>
      </c>
      <c r="E65">
        <v>6</v>
      </c>
      <c r="F65">
        <v>1</v>
      </c>
      <c r="G65">
        <v>2</v>
      </c>
      <c r="H65">
        <v>1</v>
      </c>
      <c r="I65">
        <v>4</v>
      </c>
      <c r="K65">
        <v>4</v>
      </c>
      <c r="L65">
        <v>5</v>
      </c>
      <c r="M65">
        <v>4</v>
      </c>
      <c r="N65">
        <f t="shared" si="0"/>
        <v>1</v>
      </c>
    </row>
    <row r="66" spans="1:14" x14ac:dyDescent="0.55000000000000004">
      <c r="A66" s="43">
        <v>45203</v>
      </c>
      <c r="B66">
        <v>2222</v>
      </c>
      <c r="C66">
        <v>249</v>
      </c>
      <c r="D66" t="s">
        <v>25</v>
      </c>
      <c r="E66">
        <v>0</v>
      </c>
      <c r="F66">
        <v>1</v>
      </c>
      <c r="G66">
        <v>2.2999999999999998</v>
      </c>
      <c r="H66">
        <v>0</v>
      </c>
      <c r="I66">
        <v>4</v>
      </c>
      <c r="K66">
        <v>4</v>
      </c>
      <c r="L66">
        <v>5</v>
      </c>
      <c r="M66">
        <v>4</v>
      </c>
      <c r="N66">
        <f t="shared" si="0"/>
        <v>1</v>
      </c>
    </row>
    <row r="67" spans="1:14" x14ac:dyDescent="0.55000000000000004">
      <c r="A67" s="43">
        <v>45204</v>
      </c>
      <c r="B67">
        <v>2223</v>
      </c>
      <c r="C67">
        <v>82</v>
      </c>
      <c r="D67" t="s">
        <v>25</v>
      </c>
      <c r="E67">
        <v>2</v>
      </c>
      <c r="F67">
        <v>1</v>
      </c>
      <c r="G67">
        <v>2.2999999999999998</v>
      </c>
      <c r="H67">
        <v>0</v>
      </c>
      <c r="I67">
        <v>3</v>
      </c>
      <c r="J67" t="s">
        <v>53</v>
      </c>
      <c r="K67">
        <v>1</v>
      </c>
      <c r="L67">
        <v>7</v>
      </c>
      <c r="M67">
        <v>5</v>
      </c>
      <c r="N67">
        <f t="shared" ref="N67:N120" si="1">IF(D67="Soap A",1,IF(D67="Soap B",2,""))</f>
        <v>1</v>
      </c>
    </row>
    <row r="68" spans="1:14" x14ac:dyDescent="0.55000000000000004">
      <c r="A68" s="43">
        <v>45204</v>
      </c>
      <c r="B68">
        <v>2225</v>
      </c>
      <c r="C68">
        <v>284</v>
      </c>
      <c r="D68" t="s">
        <v>25</v>
      </c>
      <c r="E68">
        <v>2</v>
      </c>
      <c r="F68">
        <v>1</v>
      </c>
      <c r="G68">
        <v>2</v>
      </c>
      <c r="H68">
        <v>0</v>
      </c>
      <c r="I68">
        <v>4</v>
      </c>
      <c r="K68">
        <v>4</v>
      </c>
      <c r="L68">
        <v>5</v>
      </c>
      <c r="M68">
        <v>4</v>
      </c>
      <c r="N68">
        <f t="shared" si="1"/>
        <v>1</v>
      </c>
    </row>
    <row r="69" spans="1:14" x14ac:dyDescent="0.55000000000000004">
      <c r="A69" s="43">
        <v>45205</v>
      </c>
      <c r="B69">
        <v>2226</v>
      </c>
      <c r="C69">
        <v>52</v>
      </c>
      <c r="D69" t="s">
        <v>25</v>
      </c>
      <c r="E69">
        <v>4</v>
      </c>
      <c r="F69">
        <v>1</v>
      </c>
      <c r="G69">
        <v>2.2999999999999998</v>
      </c>
      <c r="H69">
        <v>1</v>
      </c>
      <c r="I69">
        <v>7</v>
      </c>
      <c r="J69" t="s">
        <v>86</v>
      </c>
      <c r="K69">
        <v>4</v>
      </c>
      <c r="L69">
        <v>4</v>
      </c>
      <c r="M69">
        <v>6</v>
      </c>
      <c r="N69">
        <f t="shared" si="1"/>
        <v>1</v>
      </c>
    </row>
    <row r="70" spans="1:14" x14ac:dyDescent="0.55000000000000004">
      <c r="A70" s="43">
        <v>45207</v>
      </c>
      <c r="B70">
        <v>2235</v>
      </c>
      <c r="C70">
        <v>94</v>
      </c>
      <c r="D70" t="s">
        <v>25</v>
      </c>
      <c r="E70">
        <v>2</v>
      </c>
      <c r="F70">
        <v>1</v>
      </c>
      <c r="G70">
        <v>2</v>
      </c>
      <c r="H70">
        <v>0</v>
      </c>
      <c r="I70">
        <v>4</v>
      </c>
      <c r="J70" t="s">
        <v>53</v>
      </c>
      <c r="K70">
        <v>4</v>
      </c>
      <c r="L70">
        <v>4</v>
      </c>
      <c r="M70">
        <v>7</v>
      </c>
      <c r="N70">
        <f t="shared" si="1"/>
        <v>1</v>
      </c>
    </row>
    <row r="71" spans="1:14" x14ac:dyDescent="0.55000000000000004">
      <c r="A71" s="43">
        <v>45207</v>
      </c>
      <c r="B71">
        <v>2237</v>
      </c>
      <c r="C71">
        <v>204</v>
      </c>
      <c r="D71" t="s">
        <v>25</v>
      </c>
      <c r="E71">
        <v>7</v>
      </c>
      <c r="F71">
        <v>1</v>
      </c>
      <c r="G71">
        <v>2.2999999999999998</v>
      </c>
      <c r="H71">
        <v>2</v>
      </c>
      <c r="I71">
        <v>4</v>
      </c>
      <c r="K71">
        <v>4</v>
      </c>
      <c r="L71">
        <v>5</v>
      </c>
      <c r="M71">
        <v>4</v>
      </c>
      <c r="N71">
        <f t="shared" si="1"/>
        <v>1</v>
      </c>
    </row>
    <row r="72" spans="1:14" x14ac:dyDescent="0.55000000000000004">
      <c r="A72" s="43">
        <v>45207</v>
      </c>
      <c r="B72">
        <v>2238</v>
      </c>
      <c r="C72">
        <v>240</v>
      </c>
      <c r="D72" t="s">
        <v>25</v>
      </c>
      <c r="E72">
        <v>2</v>
      </c>
      <c r="F72">
        <v>1</v>
      </c>
      <c r="G72">
        <v>2</v>
      </c>
      <c r="H72">
        <v>0</v>
      </c>
      <c r="I72">
        <v>4</v>
      </c>
      <c r="K72">
        <v>4</v>
      </c>
      <c r="L72">
        <v>5</v>
      </c>
      <c r="M72">
        <v>4</v>
      </c>
      <c r="N72">
        <f t="shared" si="1"/>
        <v>1</v>
      </c>
    </row>
    <row r="73" spans="1:14" x14ac:dyDescent="0.55000000000000004">
      <c r="A73" s="43">
        <v>45208</v>
      </c>
      <c r="B73">
        <v>2241</v>
      </c>
      <c r="C73">
        <v>30</v>
      </c>
      <c r="D73" t="s">
        <v>25</v>
      </c>
      <c r="E73">
        <v>2</v>
      </c>
      <c r="F73">
        <v>1</v>
      </c>
      <c r="G73">
        <v>2</v>
      </c>
      <c r="H73">
        <v>0</v>
      </c>
      <c r="I73">
        <v>2</v>
      </c>
      <c r="J73" t="s">
        <v>53</v>
      </c>
      <c r="K73">
        <v>6</v>
      </c>
      <c r="L73">
        <v>2</v>
      </c>
      <c r="M73">
        <v>1</v>
      </c>
      <c r="N73">
        <f t="shared" si="1"/>
        <v>1</v>
      </c>
    </row>
    <row r="74" spans="1:14" x14ac:dyDescent="0.55000000000000004">
      <c r="A74" s="43">
        <v>45209</v>
      </c>
      <c r="B74">
        <v>2244</v>
      </c>
      <c r="C74">
        <v>55</v>
      </c>
      <c r="D74" t="s">
        <v>25</v>
      </c>
      <c r="E74">
        <v>8</v>
      </c>
      <c r="F74">
        <v>1</v>
      </c>
      <c r="G74">
        <v>2</v>
      </c>
      <c r="H74">
        <v>2</v>
      </c>
      <c r="I74">
        <v>4</v>
      </c>
      <c r="J74" t="s">
        <v>86</v>
      </c>
      <c r="K74">
        <v>7</v>
      </c>
      <c r="L74">
        <v>2</v>
      </c>
      <c r="M74">
        <v>1</v>
      </c>
      <c r="N74">
        <f t="shared" si="1"/>
        <v>1</v>
      </c>
    </row>
    <row r="75" spans="1:14" x14ac:dyDescent="0.55000000000000004">
      <c r="A75" s="43">
        <v>45209</v>
      </c>
      <c r="B75">
        <v>2245</v>
      </c>
      <c r="C75">
        <v>100</v>
      </c>
      <c r="D75" t="s">
        <v>25</v>
      </c>
      <c r="E75">
        <v>1</v>
      </c>
      <c r="F75">
        <v>1</v>
      </c>
      <c r="G75">
        <v>2.2999999999999998</v>
      </c>
      <c r="H75">
        <v>0</v>
      </c>
      <c r="I75">
        <v>4</v>
      </c>
      <c r="J75" t="s">
        <v>53</v>
      </c>
      <c r="K75">
        <v>2</v>
      </c>
      <c r="L75">
        <v>6</v>
      </c>
      <c r="M75">
        <v>3</v>
      </c>
      <c r="N75">
        <f t="shared" si="1"/>
        <v>1</v>
      </c>
    </row>
    <row r="76" spans="1:14" x14ac:dyDescent="0.55000000000000004">
      <c r="A76" s="43">
        <v>45209</v>
      </c>
      <c r="B76">
        <v>2249</v>
      </c>
      <c r="C76">
        <v>199</v>
      </c>
      <c r="D76" t="s">
        <v>25</v>
      </c>
      <c r="E76">
        <v>0</v>
      </c>
      <c r="F76">
        <v>1</v>
      </c>
      <c r="G76">
        <v>2</v>
      </c>
      <c r="H76">
        <v>0</v>
      </c>
      <c r="I76">
        <v>4</v>
      </c>
      <c r="K76">
        <v>4</v>
      </c>
      <c r="L76">
        <v>5</v>
      </c>
      <c r="M76">
        <v>4</v>
      </c>
      <c r="N76">
        <f t="shared" si="1"/>
        <v>1</v>
      </c>
    </row>
    <row r="77" spans="1:14" x14ac:dyDescent="0.55000000000000004">
      <c r="A77" s="43">
        <v>45211</v>
      </c>
      <c r="B77">
        <v>2257</v>
      </c>
      <c r="C77">
        <v>93</v>
      </c>
      <c r="D77" t="s">
        <v>25</v>
      </c>
      <c r="E77">
        <v>1</v>
      </c>
      <c r="F77">
        <v>1</v>
      </c>
      <c r="G77">
        <v>2.2999999999999998</v>
      </c>
      <c r="H77">
        <v>0</v>
      </c>
      <c r="I77">
        <v>7</v>
      </c>
      <c r="J77" t="s">
        <v>53</v>
      </c>
      <c r="K77">
        <v>5</v>
      </c>
      <c r="L77">
        <v>3</v>
      </c>
      <c r="M77">
        <v>2</v>
      </c>
      <c r="N77">
        <f t="shared" si="1"/>
        <v>1</v>
      </c>
    </row>
    <row r="78" spans="1:14" x14ac:dyDescent="0.55000000000000004">
      <c r="A78" s="43">
        <v>45211</v>
      </c>
      <c r="B78">
        <v>2258</v>
      </c>
      <c r="C78">
        <v>130</v>
      </c>
      <c r="D78" t="s">
        <v>25</v>
      </c>
      <c r="E78">
        <v>9</v>
      </c>
      <c r="F78">
        <v>1</v>
      </c>
      <c r="G78">
        <v>2</v>
      </c>
      <c r="H78">
        <v>2</v>
      </c>
      <c r="I78">
        <v>4</v>
      </c>
      <c r="K78">
        <v>4</v>
      </c>
      <c r="L78">
        <v>5</v>
      </c>
      <c r="M78">
        <v>4</v>
      </c>
      <c r="N78">
        <f t="shared" si="1"/>
        <v>1</v>
      </c>
    </row>
    <row r="79" spans="1:14" x14ac:dyDescent="0.55000000000000004">
      <c r="A79" s="43">
        <v>45212</v>
      </c>
      <c r="B79">
        <v>2261</v>
      </c>
      <c r="C79">
        <v>75</v>
      </c>
      <c r="D79" t="s">
        <v>25</v>
      </c>
      <c r="E79">
        <v>7</v>
      </c>
      <c r="F79">
        <v>1</v>
      </c>
      <c r="G79">
        <v>2.2999999999999998</v>
      </c>
      <c r="H79">
        <v>2</v>
      </c>
      <c r="I79">
        <v>2</v>
      </c>
      <c r="J79" t="s">
        <v>53</v>
      </c>
      <c r="K79">
        <v>3</v>
      </c>
      <c r="L79">
        <v>6</v>
      </c>
      <c r="M79">
        <v>4</v>
      </c>
      <c r="N79">
        <f t="shared" si="1"/>
        <v>1</v>
      </c>
    </row>
    <row r="80" spans="1:14" x14ac:dyDescent="0.55000000000000004">
      <c r="A80" s="43">
        <v>45213</v>
      </c>
      <c r="B80">
        <v>2265</v>
      </c>
      <c r="C80">
        <v>25</v>
      </c>
      <c r="D80" t="s">
        <v>25</v>
      </c>
      <c r="E80">
        <v>10</v>
      </c>
      <c r="F80">
        <v>1</v>
      </c>
      <c r="G80">
        <v>2</v>
      </c>
      <c r="H80">
        <v>2</v>
      </c>
      <c r="I80">
        <v>2</v>
      </c>
      <c r="J80" t="s">
        <v>53</v>
      </c>
      <c r="K80">
        <v>5</v>
      </c>
      <c r="L80">
        <v>3</v>
      </c>
      <c r="M80">
        <v>2</v>
      </c>
      <c r="N80">
        <f t="shared" si="1"/>
        <v>1</v>
      </c>
    </row>
    <row r="81" spans="1:14" x14ac:dyDescent="0.55000000000000004">
      <c r="A81" s="43">
        <v>45213</v>
      </c>
      <c r="B81">
        <v>2267</v>
      </c>
      <c r="C81">
        <v>203</v>
      </c>
      <c r="D81" t="s">
        <v>25</v>
      </c>
      <c r="E81">
        <v>9</v>
      </c>
      <c r="F81">
        <v>1</v>
      </c>
      <c r="G81">
        <v>2</v>
      </c>
      <c r="H81">
        <v>2</v>
      </c>
      <c r="I81">
        <v>4</v>
      </c>
      <c r="K81">
        <v>4</v>
      </c>
      <c r="L81">
        <v>5</v>
      </c>
      <c r="M81">
        <v>4</v>
      </c>
      <c r="N81">
        <f t="shared" si="1"/>
        <v>1</v>
      </c>
    </row>
    <row r="82" spans="1:14" x14ac:dyDescent="0.55000000000000004">
      <c r="A82" s="43">
        <v>45213</v>
      </c>
      <c r="B82">
        <v>2268</v>
      </c>
      <c r="C82">
        <v>277</v>
      </c>
      <c r="D82" t="s">
        <v>25</v>
      </c>
      <c r="E82">
        <v>6</v>
      </c>
      <c r="F82">
        <v>1</v>
      </c>
      <c r="G82">
        <v>2.2999999999999998</v>
      </c>
      <c r="H82">
        <v>1</v>
      </c>
      <c r="I82">
        <v>4</v>
      </c>
      <c r="K82">
        <v>4</v>
      </c>
      <c r="L82">
        <v>5</v>
      </c>
      <c r="M82">
        <v>4</v>
      </c>
      <c r="N82">
        <f t="shared" si="1"/>
        <v>1</v>
      </c>
    </row>
    <row r="83" spans="1:14" x14ac:dyDescent="0.55000000000000004">
      <c r="A83" s="43">
        <v>45214</v>
      </c>
      <c r="B83">
        <v>2269</v>
      </c>
      <c r="C83">
        <v>91</v>
      </c>
      <c r="D83" t="s">
        <v>25</v>
      </c>
      <c r="E83">
        <v>5</v>
      </c>
      <c r="F83">
        <v>1</v>
      </c>
      <c r="G83">
        <v>2.2999999999999998</v>
      </c>
      <c r="H83">
        <v>1</v>
      </c>
      <c r="I83">
        <v>3</v>
      </c>
      <c r="J83" t="s">
        <v>53</v>
      </c>
      <c r="K83">
        <v>1</v>
      </c>
      <c r="L83">
        <v>7</v>
      </c>
      <c r="M83">
        <v>5</v>
      </c>
      <c r="N83">
        <f t="shared" si="1"/>
        <v>1</v>
      </c>
    </row>
    <row r="84" spans="1:14" x14ac:dyDescent="0.55000000000000004">
      <c r="A84" s="43">
        <v>45214</v>
      </c>
      <c r="B84">
        <v>2270</v>
      </c>
      <c r="C84">
        <v>154</v>
      </c>
      <c r="D84" t="s">
        <v>25</v>
      </c>
      <c r="E84">
        <v>2</v>
      </c>
      <c r="F84">
        <v>1</v>
      </c>
      <c r="G84">
        <v>2</v>
      </c>
      <c r="H84">
        <v>0</v>
      </c>
      <c r="I84">
        <v>4</v>
      </c>
      <c r="K84">
        <v>4</v>
      </c>
      <c r="L84">
        <v>5</v>
      </c>
      <c r="M84">
        <v>4</v>
      </c>
      <c r="N84">
        <f t="shared" si="1"/>
        <v>1</v>
      </c>
    </row>
    <row r="85" spans="1:14" x14ac:dyDescent="0.55000000000000004">
      <c r="A85" s="43">
        <v>45215</v>
      </c>
      <c r="B85">
        <v>2272</v>
      </c>
      <c r="C85">
        <v>12</v>
      </c>
      <c r="D85" t="s">
        <v>25</v>
      </c>
      <c r="E85">
        <v>6</v>
      </c>
      <c r="F85">
        <v>1</v>
      </c>
      <c r="G85">
        <v>2.2999999999999998</v>
      </c>
      <c r="H85">
        <v>1</v>
      </c>
      <c r="I85">
        <v>2</v>
      </c>
      <c r="J85" t="s">
        <v>86</v>
      </c>
      <c r="K85">
        <v>3</v>
      </c>
      <c r="L85">
        <v>3</v>
      </c>
      <c r="M85">
        <v>7</v>
      </c>
      <c r="N85">
        <f t="shared" si="1"/>
        <v>1</v>
      </c>
    </row>
    <row r="86" spans="1:14" x14ac:dyDescent="0.55000000000000004">
      <c r="A86" s="43">
        <v>45215</v>
      </c>
      <c r="B86">
        <v>2273</v>
      </c>
      <c r="C86">
        <v>99</v>
      </c>
      <c r="D86" t="s">
        <v>25</v>
      </c>
      <c r="E86">
        <v>0</v>
      </c>
      <c r="F86">
        <v>1</v>
      </c>
      <c r="G86">
        <v>2.2999999999999998</v>
      </c>
      <c r="H86">
        <v>0</v>
      </c>
      <c r="I86">
        <v>1</v>
      </c>
      <c r="J86" t="s">
        <v>53</v>
      </c>
      <c r="K86">
        <v>5</v>
      </c>
      <c r="L86">
        <v>5</v>
      </c>
      <c r="M86">
        <v>7</v>
      </c>
      <c r="N86">
        <f t="shared" si="1"/>
        <v>1</v>
      </c>
    </row>
    <row r="87" spans="1:14" x14ac:dyDescent="0.55000000000000004">
      <c r="A87" s="43">
        <v>45215</v>
      </c>
      <c r="B87">
        <v>2274</v>
      </c>
      <c r="C87">
        <v>151</v>
      </c>
      <c r="D87" t="s">
        <v>25</v>
      </c>
      <c r="E87">
        <v>4</v>
      </c>
      <c r="F87">
        <v>1</v>
      </c>
      <c r="G87">
        <v>2.2999999999999998</v>
      </c>
      <c r="H87">
        <v>1</v>
      </c>
      <c r="I87">
        <v>4</v>
      </c>
      <c r="K87">
        <v>4</v>
      </c>
      <c r="L87">
        <v>5</v>
      </c>
      <c r="M87">
        <v>4</v>
      </c>
      <c r="N87">
        <f t="shared" si="1"/>
        <v>1</v>
      </c>
    </row>
    <row r="88" spans="1:14" x14ac:dyDescent="0.55000000000000004">
      <c r="A88" s="43">
        <v>45215</v>
      </c>
      <c r="B88">
        <v>2276</v>
      </c>
      <c r="C88">
        <v>246</v>
      </c>
      <c r="D88" t="s">
        <v>25</v>
      </c>
      <c r="E88">
        <v>7</v>
      </c>
      <c r="F88">
        <v>1</v>
      </c>
      <c r="G88">
        <v>2.2999999999999998</v>
      </c>
      <c r="H88">
        <v>2</v>
      </c>
      <c r="I88">
        <v>4</v>
      </c>
      <c r="K88">
        <v>4</v>
      </c>
      <c r="L88">
        <v>5</v>
      </c>
      <c r="M88">
        <v>4</v>
      </c>
      <c r="N88">
        <f t="shared" si="1"/>
        <v>1</v>
      </c>
    </row>
    <row r="89" spans="1:14" x14ac:dyDescent="0.55000000000000004">
      <c r="A89" s="43">
        <v>45216</v>
      </c>
      <c r="B89">
        <v>2277</v>
      </c>
      <c r="C89">
        <v>28</v>
      </c>
      <c r="D89" t="s">
        <v>25</v>
      </c>
      <c r="E89">
        <v>6</v>
      </c>
      <c r="F89">
        <v>1</v>
      </c>
      <c r="G89">
        <v>2.2999999999999998</v>
      </c>
      <c r="H89">
        <v>1</v>
      </c>
      <c r="I89">
        <v>1</v>
      </c>
      <c r="J89" t="s">
        <v>88</v>
      </c>
      <c r="K89">
        <v>6</v>
      </c>
      <c r="L89">
        <v>5</v>
      </c>
      <c r="M89">
        <v>5</v>
      </c>
      <c r="N89">
        <f t="shared" si="1"/>
        <v>1</v>
      </c>
    </row>
    <row r="90" spans="1:14" x14ac:dyDescent="0.55000000000000004">
      <c r="A90" s="43">
        <v>45216</v>
      </c>
      <c r="B90">
        <v>2280</v>
      </c>
      <c r="C90">
        <v>165</v>
      </c>
      <c r="D90" t="s">
        <v>25</v>
      </c>
      <c r="E90">
        <v>5</v>
      </c>
      <c r="F90">
        <v>1</v>
      </c>
      <c r="G90">
        <v>2</v>
      </c>
      <c r="H90">
        <v>1</v>
      </c>
      <c r="I90">
        <v>4</v>
      </c>
      <c r="K90">
        <v>4</v>
      </c>
      <c r="L90">
        <v>5</v>
      </c>
      <c r="M90">
        <v>4</v>
      </c>
      <c r="N90">
        <f t="shared" si="1"/>
        <v>1</v>
      </c>
    </row>
    <row r="91" spans="1:14" x14ac:dyDescent="0.55000000000000004">
      <c r="A91" s="43">
        <v>45217</v>
      </c>
      <c r="B91">
        <v>2282</v>
      </c>
      <c r="C91">
        <v>66</v>
      </c>
      <c r="D91" t="s">
        <v>25</v>
      </c>
      <c r="E91">
        <v>7</v>
      </c>
      <c r="F91">
        <v>1</v>
      </c>
      <c r="G91">
        <v>2.2999999999999998</v>
      </c>
      <c r="H91">
        <v>2</v>
      </c>
      <c r="I91">
        <v>4</v>
      </c>
      <c r="J91" t="s">
        <v>53</v>
      </c>
      <c r="K91">
        <v>1</v>
      </c>
      <c r="L91">
        <v>6</v>
      </c>
      <c r="M91">
        <v>4</v>
      </c>
      <c r="N91">
        <f t="shared" si="1"/>
        <v>1</v>
      </c>
    </row>
    <row r="92" spans="1:14" x14ac:dyDescent="0.55000000000000004">
      <c r="A92" s="43">
        <v>45218</v>
      </c>
      <c r="B92">
        <v>2285</v>
      </c>
      <c r="C92">
        <v>26</v>
      </c>
      <c r="D92" t="s">
        <v>25</v>
      </c>
      <c r="E92">
        <v>2</v>
      </c>
      <c r="F92">
        <v>1</v>
      </c>
      <c r="G92">
        <v>2.2999999999999998</v>
      </c>
      <c r="H92">
        <v>0</v>
      </c>
      <c r="I92">
        <v>2</v>
      </c>
      <c r="J92" t="s">
        <v>87</v>
      </c>
      <c r="K92">
        <v>5</v>
      </c>
      <c r="L92">
        <v>3</v>
      </c>
      <c r="M92">
        <v>2</v>
      </c>
      <c r="N92">
        <f t="shared" si="1"/>
        <v>1</v>
      </c>
    </row>
    <row r="93" spans="1:14" x14ac:dyDescent="0.55000000000000004">
      <c r="A93" s="43">
        <v>45218</v>
      </c>
      <c r="B93">
        <v>2285</v>
      </c>
      <c r="C93">
        <v>26</v>
      </c>
      <c r="D93" t="s">
        <v>25</v>
      </c>
      <c r="E93">
        <v>2</v>
      </c>
      <c r="F93">
        <v>1</v>
      </c>
      <c r="G93">
        <v>2.2999999999999998</v>
      </c>
      <c r="H93">
        <v>0</v>
      </c>
      <c r="I93">
        <v>2</v>
      </c>
      <c r="J93" t="s">
        <v>87</v>
      </c>
      <c r="K93">
        <v>5</v>
      </c>
      <c r="L93">
        <v>3</v>
      </c>
      <c r="M93">
        <v>2</v>
      </c>
      <c r="N93">
        <f t="shared" si="1"/>
        <v>1</v>
      </c>
    </row>
    <row r="94" spans="1:14" x14ac:dyDescent="0.55000000000000004">
      <c r="A94" s="43">
        <v>45218</v>
      </c>
      <c r="B94">
        <v>2289</v>
      </c>
      <c r="C94">
        <v>280</v>
      </c>
      <c r="D94" t="s">
        <v>25</v>
      </c>
      <c r="E94">
        <v>10</v>
      </c>
      <c r="F94">
        <v>1</v>
      </c>
      <c r="G94">
        <v>2</v>
      </c>
      <c r="H94">
        <v>2</v>
      </c>
      <c r="I94">
        <v>4</v>
      </c>
      <c r="K94">
        <v>4</v>
      </c>
      <c r="L94">
        <v>5</v>
      </c>
      <c r="M94">
        <v>4</v>
      </c>
      <c r="N94">
        <f t="shared" si="1"/>
        <v>1</v>
      </c>
    </row>
    <row r="95" spans="1:14" x14ac:dyDescent="0.55000000000000004">
      <c r="A95" s="43">
        <v>45219</v>
      </c>
      <c r="B95">
        <v>2292</v>
      </c>
      <c r="C95">
        <v>68</v>
      </c>
      <c r="D95" t="s">
        <v>25</v>
      </c>
      <c r="E95">
        <v>1</v>
      </c>
      <c r="F95">
        <v>1</v>
      </c>
      <c r="G95">
        <v>2.2999999999999998</v>
      </c>
      <c r="H95">
        <v>0</v>
      </c>
      <c r="I95">
        <v>4</v>
      </c>
      <c r="J95" t="s">
        <v>91</v>
      </c>
      <c r="K95">
        <v>2</v>
      </c>
      <c r="L95">
        <v>7</v>
      </c>
      <c r="M95">
        <v>4</v>
      </c>
      <c r="N95">
        <f t="shared" si="1"/>
        <v>1</v>
      </c>
    </row>
    <row r="96" spans="1:14" x14ac:dyDescent="0.55000000000000004">
      <c r="A96" s="43">
        <v>45219</v>
      </c>
      <c r="B96">
        <v>2293</v>
      </c>
      <c r="C96">
        <v>267</v>
      </c>
      <c r="D96" t="s">
        <v>25</v>
      </c>
      <c r="E96">
        <v>6</v>
      </c>
      <c r="F96">
        <v>1</v>
      </c>
      <c r="G96">
        <v>2.2999999999999998</v>
      </c>
      <c r="H96">
        <v>1</v>
      </c>
      <c r="I96">
        <v>4</v>
      </c>
      <c r="K96">
        <v>4</v>
      </c>
      <c r="L96">
        <v>5</v>
      </c>
      <c r="M96">
        <v>4</v>
      </c>
      <c r="N96">
        <f t="shared" si="1"/>
        <v>1</v>
      </c>
    </row>
    <row r="97" spans="1:14" x14ac:dyDescent="0.55000000000000004">
      <c r="A97" s="43">
        <v>45219</v>
      </c>
      <c r="B97">
        <v>2294</v>
      </c>
      <c r="C97">
        <v>268</v>
      </c>
      <c r="D97" t="s">
        <v>25</v>
      </c>
      <c r="E97">
        <v>6</v>
      </c>
      <c r="F97">
        <v>1</v>
      </c>
      <c r="G97">
        <v>2.2999999999999998</v>
      </c>
      <c r="H97">
        <v>1</v>
      </c>
      <c r="I97">
        <v>4</v>
      </c>
      <c r="K97">
        <v>4</v>
      </c>
      <c r="L97">
        <v>5</v>
      </c>
      <c r="M97">
        <v>4</v>
      </c>
      <c r="N97">
        <f t="shared" si="1"/>
        <v>1</v>
      </c>
    </row>
    <row r="98" spans="1:14" x14ac:dyDescent="0.55000000000000004">
      <c r="A98" s="43">
        <v>45219</v>
      </c>
      <c r="B98">
        <v>2295</v>
      </c>
      <c r="C98">
        <v>288</v>
      </c>
      <c r="D98" t="s">
        <v>25</v>
      </c>
      <c r="E98">
        <v>0</v>
      </c>
      <c r="F98">
        <v>1</v>
      </c>
      <c r="G98">
        <v>2</v>
      </c>
      <c r="H98">
        <v>0</v>
      </c>
      <c r="I98">
        <v>4</v>
      </c>
      <c r="K98">
        <v>4</v>
      </c>
      <c r="L98">
        <v>5</v>
      </c>
      <c r="M98">
        <v>4</v>
      </c>
      <c r="N98">
        <f t="shared" si="1"/>
        <v>1</v>
      </c>
    </row>
    <row r="99" spans="1:14" x14ac:dyDescent="0.55000000000000004">
      <c r="A99" s="43">
        <v>45220</v>
      </c>
      <c r="B99">
        <v>2296</v>
      </c>
      <c r="C99">
        <v>111</v>
      </c>
      <c r="D99" t="s">
        <v>25</v>
      </c>
      <c r="E99">
        <v>9</v>
      </c>
      <c r="F99">
        <v>1</v>
      </c>
      <c r="G99">
        <v>2</v>
      </c>
      <c r="H99">
        <v>2</v>
      </c>
      <c r="I99">
        <v>4</v>
      </c>
      <c r="J99" t="s">
        <v>53</v>
      </c>
      <c r="K99">
        <v>3</v>
      </c>
      <c r="L99">
        <v>7</v>
      </c>
      <c r="M99">
        <v>3</v>
      </c>
      <c r="N99">
        <f t="shared" si="1"/>
        <v>1</v>
      </c>
    </row>
    <row r="100" spans="1:14" x14ac:dyDescent="0.55000000000000004">
      <c r="A100" s="43">
        <v>45220</v>
      </c>
      <c r="B100">
        <v>2297</v>
      </c>
      <c r="C100">
        <v>281</v>
      </c>
      <c r="D100" t="s">
        <v>25</v>
      </c>
      <c r="E100">
        <v>2</v>
      </c>
      <c r="F100">
        <v>1</v>
      </c>
      <c r="G100">
        <v>2</v>
      </c>
      <c r="H100">
        <v>0</v>
      </c>
      <c r="I100">
        <v>4</v>
      </c>
      <c r="K100">
        <v>4</v>
      </c>
      <c r="L100">
        <v>5</v>
      </c>
      <c r="M100">
        <v>4</v>
      </c>
      <c r="N100">
        <f t="shared" si="1"/>
        <v>1</v>
      </c>
    </row>
    <row r="101" spans="1:14" x14ac:dyDescent="0.55000000000000004">
      <c r="A101" s="43">
        <v>45221</v>
      </c>
      <c r="B101">
        <v>2298</v>
      </c>
      <c r="C101">
        <v>69</v>
      </c>
      <c r="D101" t="s">
        <v>25</v>
      </c>
      <c r="E101">
        <v>3</v>
      </c>
      <c r="F101">
        <v>1</v>
      </c>
      <c r="G101">
        <v>2.2999999999999998</v>
      </c>
      <c r="H101">
        <v>1</v>
      </c>
      <c r="I101">
        <v>3</v>
      </c>
      <c r="J101" t="s">
        <v>53</v>
      </c>
      <c r="K101">
        <v>4</v>
      </c>
      <c r="L101">
        <v>3</v>
      </c>
      <c r="M101">
        <v>6</v>
      </c>
      <c r="N101">
        <f t="shared" si="1"/>
        <v>1</v>
      </c>
    </row>
    <row r="102" spans="1:14" x14ac:dyDescent="0.55000000000000004">
      <c r="A102" s="43">
        <v>45222</v>
      </c>
      <c r="B102">
        <v>2301</v>
      </c>
      <c r="C102">
        <v>35</v>
      </c>
      <c r="D102" t="s">
        <v>25</v>
      </c>
      <c r="E102">
        <v>2</v>
      </c>
      <c r="F102">
        <v>1</v>
      </c>
      <c r="G102">
        <v>2.2999999999999998</v>
      </c>
      <c r="H102">
        <v>0</v>
      </c>
      <c r="I102">
        <v>7</v>
      </c>
      <c r="J102" t="s">
        <v>86</v>
      </c>
      <c r="K102">
        <v>5</v>
      </c>
      <c r="L102">
        <v>2</v>
      </c>
      <c r="M102">
        <v>2</v>
      </c>
      <c r="N102">
        <f t="shared" si="1"/>
        <v>1</v>
      </c>
    </row>
    <row r="103" spans="1:14" x14ac:dyDescent="0.55000000000000004">
      <c r="A103" s="43">
        <v>45222</v>
      </c>
      <c r="B103">
        <v>2302</v>
      </c>
      <c r="C103">
        <v>83</v>
      </c>
      <c r="D103" t="s">
        <v>25</v>
      </c>
      <c r="E103">
        <v>4</v>
      </c>
      <c r="F103">
        <v>1</v>
      </c>
      <c r="G103">
        <v>2</v>
      </c>
      <c r="H103">
        <v>1</v>
      </c>
      <c r="I103">
        <v>7</v>
      </c>
      <c r="J103" t="s">
        <v>53</v>
      </c>
      <c r="K103">
        <v>5</v>
      </c>
      <c r="L103">
        <v>3</v>
      </c>
      <c r="M103">
        <v>1</v>
      </c>
      <c r="N103">
        <f t="shared" si="1"/>
        <v>1</v>
      </c>
    </row>
    <row r="104" spans="1:14" x14ac:dyDescent="0.55000000000000004">
      <c r="A104" s="43">
        <v>45222</v>
      </c>
      <c r="B104">
        <v>2304</v>
      </c>
      <c r="C104">
        <v>154</v>
      </c>
      <c r="D104" t="s">
        <v>25</v>
      </c>
      <c r="E104">
        <v>6</v>
      </c>
      <c r="F104">
        <v>1</v>
      </c>
      <c r="G104">
        <v>2</v>
      </c>
      <c r="H104">
        <v>1</v>
      </c>
      <c r="I104">
        <v>4</v>
      </c>
      <c r="K104">
        <v>4</v>
      </c>
      <c r="L104">
        <v>5</v>
      </c>
      <c r="M104">
        <v>4</v>
      </c>
      <c r="N104">
        <f t="shared" si="1"/>
        <v>1</v>
      </c>
    </row>
    <row r="105" spans="1:14" x14ac:dyDescent="0.55000000000000004">
      <c r="A105" s="43">
        <v>45223</v>
      </c>
      <c r="B105">
        <v>2307</v>
      </c>
      <c r="C105">
        <v>31</v>
      </c>
      <c r="D105" t="s">
        <v>25</v>
      </c>
      <c r="E105">
        <v>5</v>
      </c>
      <c r="F105">
        <v>1</v>
      </c>
      <c r="G105">
        <v>2</v>
      </c>
      <c r="H105">
        <v>1</v>
      </c>
      <c r="I105">
        <v>2</v>
      </c>
      <c r="J105" t="s">
        <v>89</v>
      </c>
      <c r="K105">
        <v>5</v>
      </c>
      <c r="L105">
        <v>5</v>
      </c>
      <c r="M105">
        <v>5</v>
      </c>
      <c r="N105">
        <f t="shared" si="1"/>
        <v>1</v>
      </c>
    </row>
    <row r="106" spans="1:14" x14ac:dyDescent="0.55000000000000004">
      <c r="A106" s="43">
        <v>45223</v>
      </c>
      <c r="B106">
        <v>2308</v>
      </c>
      <c r="C106">
        <v>71</v>
      </c>
      <c r="D106" t="s">
        <v>25</v>
      </c>
      <c r="E106">
        <v>10</v>
      </c>
      <c r="F106">
        <v>1</v>
      </c>
      <c r="G106">
        <v>2</v>
      </c>
      <c r="H106">
        <v>2</v>
      </c>
      <c r="I106">
        <v>3</v>
      </c>
      <c r="J106" t="s">
        <v>53</v>
      </c>
      <c r="K106">
        <v>4</v>
      </c>
      <c r="L106">
        <v>4</v>
      </c>
      <c r="M106">
        <v>7</v>
      </c>
      <c r="N106">
        <f t="shared" si="1"/>
        <v>1</v>
      </c>
    </row>
    <row r="107" spans="1:14" x14ac:dyDescent="0.55000000000000004">
      <c r="A107" s="43">
        <v>45223</v>
      </c>
      <c r="B107">
        <v>2309</v>
      </c>
      <c r="C107">
        <v>142</v>
      </c>
      <c r="D107" t="s">
        <v>25</v>
      </c>
      <c r="E107">
        <v>4</v>
      </c>
      <c r="F107">
        <v>1</v>
      </c>
      <c r="G107">
        <v>2.2999999999999998</v>
      </c>
      <c r="H107">
        <v>1</v>
      </c>
      <c r="I107">
        <v>4</v>
      </c>
      <c r="K107">
        <v>4</v>
      </c>
      <c r="L107">
        <v>5</v>
      </c>
      <c r="M107">
        <v>4</v>
      </c>
      <c r="N107">
        <f t="shared" si="1"/>
        <v>1</v>
      </c>
    </row>
    <row r="108" spans="1:14" x14ac:dyDescent="0.55000000000000004">
      <c r="A108" s="43">
        <v>45224</v>
      </c>
      <c r="B108">
        <v>2310</v>
      </c>
      <c r="C108">
        <v>115</v>
      </c>
      <c r="D108" t="s">
        <v>25</v>
      </c>
      <c r="E108">
        <v>5</v>
      </c>
      <c r="F108">
        <v>1</v>
      </c>
      <c r="G108">
        <v>2</v>
      </c>
      <c r="H108">
        <v>1</v>
      </c>
      <c r="I108">
        <v>2</v>
      </c>
      <c r="J108" t="s">
        <v>53</v>
      </c>
      <c r="K108">
        <v>2</v>
      </c>
      <c r="L108">
        <v>5</v>
      </c>
      <c r="M108">
        <v>5</v>
      </c>
      <c r="N108">
        <f t="shared" si="1"/>
        <v>1</v>
      </c>
    </row>
    <row r="109" spans="1:14" x14ac:dyDescent="0.55000000000000004">
      <c r="A109" s="43">
        <v>45225</v>
      </c>
      <c r="B109">
        <v>2311</v>
      </c>
      <c r="C109">
        <v>52</v>
      </c>
      <c r="D109" t="s">
        <v>25</v>
      </c>
      <c r="E109">
        <v>3</v>
      </c>
      <c r="F109">
        <v>1</v>
      </c>
      <c r="G109">
        <v>2.2999999999999998</v>
      </c>
      <c r="H109">
        <v>1</v>
      </c>
      <c r="I109">
        <v>7</v>
      </c>
      <c r="J109" t="s">
        <v>86</v>
      </c>
      <c r="K109">
        <v>4</v>
      </c>
      <c r="L109">
        <v>4</v>
      </c>
      <c r="M109">
        <v>6</v>
      </c>
      <c r="N109">
        <f t="shared" si="1"/>
        <v>1</v>
      </c>
    </row>
    <row r="110" spans="1:14" x14ac:dyDescent="0.55000000000000004">
      <c r="A110" s="43">
        <v>45225</v>
      </c>
      <c r="B110">
        <v>2312</v>
      </c>
      <c r="C110">
        <v>75</v>
      </c>
      <c r="D110" t="s">
        <v>25</v>
      </c>
      <c r="E110">
        <v>9</v>
      </c>
      <c r="F110">
        <v>1</v>
      </c>
      <c r="G110">
        <v>2</v>
      </c>
      <c r="H110">
        <v>2</v>
      </c>
      <c r="I110">
        <v>2</v>
      </c>
      <c r="J110" t="s">
        <v>53</v>
      </c>
      <c r="K110">
        <v>3</v>
      </c>
      <c r="L110">
        <v>6</v>
      </c>
      <c r="M110">
        <v>4</v>
      </c>
      <c r="N110">
        <f t="shared" si="1"/>
        <v>1</v>
      </c>
    </row>
    <row r="111" spans="1:14" x14ac:dyDescent="0.55000000000000004">
      <c r="A111" s="43">
        <v>45225</v>
      </c>
      <c r="B111">
        <v>2313</v>
      </c>
      <c r="C111">
        <v>256</v>
      </c>
      <c r="D111" t="s">
        <v>25</v>
      </c>
      <c r="E111">
        <v>10</v>
      </c>
      <c r="F111">
        <v>1</v>
      </c>
      <c r="G111">
        <v>2</v>
      </c>
      <c r="H111">
        <v>2</v>
      </c>
      <c r="I111">
        <v>4</v>
      </c>
      <c r="K111">
        <v>4</v>
      </c>
      <c r="L111">
        <v>5</v>
      </c>
      <c r="M111">
        <v>4</v>
      </c>
      <c r="N111">
        <f t="shared" si="1"/>
        <v>1</v>
      </c>
    </row>
    <row r="112" spans="1:14" x14ac:dyDescent="0.55000000000000004">
      <c r="A112" s="43">
        <v>45226</v>
      </c>
      <c r="B112">
        <v>2314</v>
      </c>
      <c r="C112">
        <v>10</v>
      </c>
      <c r="D112" t="s">
        <v>25</v>
      </c>
      <c r="E112">
        <v>0</v>
      </c>
      <c r="F112">
        <v>1</v>
      </c>
      <c r="G112">
        <v>2.2999999999999998</v>
      </c>
      <c r="H112">
        <v>0</v>
      </c>
      <c r="I112">
        <v>3</v>
      </c>
      <c r="J112" t="s">
        <v>53</v>
      </c>
      <c r="K112">
        <v>1</v>
      </c>
      <c r="L112">
        <v>5</v>
      </c>
      <c r="M112">
        <v>3</v>
      </c>
      <c r="N112">
        <f t="shared" si="1"/>
        <v>1</v>
      </c>
    </row>
    <row r="113" spans="1:14" x14ac:dyDescent="0.55000000000000004">
      <c r="A113" s="43">
        <v>45226</v>
      </c>
      <c r="B113">
        <v>2315</v>
      </c>
      <c r="C113">
        <v>121</v>
      </c>
      <c r="D113" t="s">
        <v>25</v>
      </c>
      <c r="E113">
        <v>3</v>
      </c>
      <c r="F113">
        <v>1</v>
      </c>
      <c r="G113">
        <v>2</v>
      </c>
      <c r="H113">
        <v>1</v>
      </c>
      <c r="I113">
        <v>4</v>
      </c>
      <c r="K113">
        <v>4</v>
      </c>
      <c r="L113">
        <v>5</v>
      </c>
      <c r="M113">
        <v>4</v>
      </c>
      <c r="N113">
        <f t="shared" si="1"/>
        <v>1</v>
      </c>
    </row>
    <row r="114" spans="1:14" x14ac:dyDescent="0.55000000000000004">
      <c r="A114" s="43">
        <v>45226</v>
      </c>
      <c r="B114">
        <v>2318</v>
      </c>
      <c r="C114">
        <v>274</v>
      </c>
      <c r="D114" t="s">
        <v>25</v>
      </c>
      <c r="E114">
        <v>7</v>
      </c>
      <c r="F114">
        <v>1</v>
      </c>
      <c r="G114">
        <v>2.2999999999999998</v>
      </c>
      <c r="H114">
        <v>2</v>
      </c>
      <c r="I114">
        <v>4</v>
      </c>
      <c r="K114">
        <v>4</v>
      </c>
      <c r="L114">
        <v>5</v>
      </c>
      <c r="M114">
        <v>4</v>
      </c>
      <c r="N114">
        <f t="shared" si="1"/>
        <v>1</v>
      </c>
    </row>
    <row r="115" spans="1:14" x14ac:dyDescent="0.55000000000000004">
      <c r="A115" s="43">
        <v>45228</v>
      </c>
      <c r="B115">
        <v>2320</v>
      </c>
      <c r="C115">
        <v>45</v>
      </c>
      <c r="D115" t="s">
        <v>25</v>
      </c>
      <c r="E115">
        <v>10</v>
      </c>
      <c r="F115">
        <v>1</v>
      </c>
      <c r="G115">
        <v>2</v>
      </c>
      <c r="H115">
        <v>2</v>
      </c>
      <c r="I115">
        <v>4</v>
      </c>
      <c r="J115" t="s">
        <v>53</v>
      </c>
      <c r="K115">
        <v>3</v>
      </c>
      <c r="L115">
        <v>4</v>
      </c>
      <c r="M115">
        <v>6</v>
      </c>
      <c r="N115">
        <f t="shared" si="1"/>
        <v>1</v>
      </c>
    </row>
    <row r="116" spans="1:14" x14ac:dyDescent="0.55000000000000004">
      <c r="A116" s="43">
        <v>45228</v>
      </c>
      <c r="B116">
        <v>2321</v>
      </c>
      <c r="C116">
        <v>160</v>
      </c>
      <c r="D116" t="s">
        <v>25</v>
      </c>
      <c r="E116">
        <v>2</v>
      </c>
      <c r="F116">
        <v>1</v>
      </c>
      <c r="G116">
        <v>2</v>
      </c>
      <c r="H116">
        <v>0</v>
      </c>
      <c r="I116">
        <v>4</v>
      </c>
      <c r="K116">
        <v>4</v>
      </c>
      <c r="L116">
        <v>5</v>
      </c>
      <c r="M116">
        <v>4</v>
      </c>
      <c r="N116">
        <f t="shared" si="1"/>
        <v>1</v>
      </c>
    </row>
    <row r="117" spans="1:14" x14ac:dyDescent="0.55000000000000004">
      <c r="A117" s="43">
        <v>45228</v>
      </c>
      <c r="B117">
        <v>2322</v>
      </c>
      <c r="C117">
        <v>190</v>
      </c>
      <c r="D117" t="s">
        <v>25</v>
      </c>
      <c r="E117">
        <v>6</v>
      </c>
      <c r="F117">
        <v>1</v>
      </c>
      <c r="G117">
        <v>2.2999999999999998</v>
      </c>
      <c r="H117">
        <v>1</v>
      </c>
      <c r="I117">
        <v>4</v>
      </c>
      <c r="K117">
        <v>4</v>
      </c>
      <c r="L117">
        <v>5</v>
      </c>
      <c r="M117">
        <v>4</v>
      </c>
      <c r="N117">
        <f t="shared" si="1"/>
        <v>1</v>
      </c>
    </row>
    <row r="118" spans="1:14" x14ac:dyDescent="0.55000000000000004">
      <c r="A118" s="43">
        <v>45228</v>
      </c>
      <c r="B118">
        <v>2323</v>
      </c>
      <c r="C118">
        <v>191</v>
      </c>
      <c r="D118" t="s">
        <v>25</v>
      </c>
      <c r="E118">
        <v>1</v>
      </c>
      <c r="F118">
        <v>1</v>
      </c>
      <c r="G118">
        <v>2.2999999999999998</v>
      </c>
      <c r="H118">
        <v>0</v>
      </c>
      <c r="I118">
        <v>4</v>
      </c>
      <c r="K118">
        <v>4</v>
      </c>
      <c r="L118">
        <v>5</v>
      </c>
      <c r="M118">
        <v>4</v>
      </c>
      <c r="N118">
        <f t="shared" si="1"/>
        <v>1</v>
      </c>
    </row>
    <row r="119" spans="1:14" x14ac:dyDescent="0.55000000000000004">
      <c r="A119" s="43">
        <v>45229</v>
      </c>
      <c r="B119">
        <v>2325</v>
      </c>
      <c r="C119">
        <v>64</v>
      </c>
      <c r="D119" t="s">
        <v>25</v>
      </c>
      <c r="E119">
        <v>2</v>
      </c>
      <c r="F119">
        <v>1</v>
      </c>
      <c r="G119">
        <v>2</v>
      </c>
      <c r="H119">
        <v>0</v>
      </c>
      <c r="I119">
        <v>6</v>
      </c>
      <c r="J119" t="s">
        <v>53</v>
      </c>
      <c r="K119">
        <v>5</v>
      </c>
      <c r="L119">
        <v>2</v>
      </c>
      <c r="M119">
        <v>1</v>
      </c>
      <c r="N119">
        <f t="shared" si="1"/>
        <v>1</v>
      </c>
    </row>
    <row r="120" spans="1:14" x14ac:dyDescent="0.55000000000000004">
      <c r="A120" s="43">
        <v>45229</v>
      </c>
      <c r="B120">
        <v>2326</v>
      </c>
      <c r="C120">
        <v>67</v>
      </c>
      <c r="D120" t="s">
        <v>25</v>
      </c>
      <c r="E120">
        <v>4</v>
      </c>
      <c r="F120">
        <v>1</v>
      </c>
      <c r="G120">
        <v>2</v>
      </c>
      <c r="H120">
        <v>1</v>
      </c>
      <c r="I120">
        <v>4</v>
      </c>
      <c r="J120" t="s">
        <v>53</v>
      </c>
      <c r="K120">
        <v>2</v>
      </c>
      <c r="L120">
        <v>7</v>
      </c>
      <c r="M120">
        <v>4</v>
      </c>
      <c r="N120">
        <f t="shared" si="1"/>
        <v>1</v>
      </c>
    </row>
    <row r="121" spans="1:14" x14ac:dyDescent="0.55000000000000004">
      <c r="H121" s="44" t="s">
        <v>276</v>
      </c>
      <c r="I121" s="44">
        <f>AVERAGE(I2:I120)</f>
        <v>3.9075630252100839</v>
      </c>
      <c r="J121" s="44"/>
      <c r="K121" s="44">
        <f>AVERAGE(K2:K120)</f>
        <v>3.8991596638655461</v>
      </c>
      <c r="L121" s="44">
        <f>AVERAGE(L2:L120)</f>
        <v>4.8655462184873945</v>
      </c>
      <c r="M121" s="44">
        <f>AVERAGE(M2:'Merged_soap'!M120)</f>
        <v>3.9915966386554622</v>
      </c>
    </row>
  </sheetData>
  <autoFilter ref="A1:M121" xr:uid="{CF48E0A6-2800-497A-92F0-02EFBB9163D2}"/>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0743-AA0D-46FC-8D85-106C1C12709E}">
  <sheetPr>
    <tabColor rgb="FF00B0F0"/>
  </sheetPr>
  <dimension ref="A1:R147"/>
  <sheetViews>
    <sheetView topLeftCell="A72" zoomScale="59" workbookViewId="0">
      <selection activeCell="D122" sqref="D122"/>
    </sheetView>
  </sheetViews>
  <sheetFormatPr defaultRowHeight="14.4" x14ac:dyDescent="0.55000000000000004"/>
  <cols>
    <col min="4" max="4" width="19.5234375" customWidth="1"/>
    <col min="5" max="5" width="17.5234375" customWidth="1"/>
    <col min="6" max="6" width="18.68359375" customWidth="1"/>
    <col min="10" max="10" width="13.5234375" customWidth="1"/>
    <col min="11" max="11" width="18.05078125" bestFit="1" customWidth="1"/>
    <col min="12" max="12" width="12.05078125" customWidth="1"/>
    <col min="15" max="15" width="14.83984375" customWidth="1"/>
  </cols>
  <sheetData>
    <row r="1" spans="1:18" x14ac:dyDescent="0.55000000000000004">
      <c r="A1" t="s">
        <v>224</v>
      </c>
      <c r="B1" t="s">
        <v>27</v>
      </c>
      <c r="C1" t="s">
        <v>31</v>
      </c>
      <c r="D1" t="s">
        <v>28</v>
      </c>
      <c r="E1" t="s">
        <v>29</v>
      </c>
      <c r="F1" t="s">
        <v>277</v>
      </c>
      <c r="J1" t="s">
        <v>278</v>
      </c>
    </row>
    <row r="2" spans="1:18" ht="14.7" thickBot="1" x14ac:dyDescent="0.6">
      <c r="A2">
        <v>3.5</v>
      </c>
      <c r="B2">
        <v>4</v>
      </c>
      <c r="C2">
        <v>4</v>
      </c>
      <c r="D2">
        <v>5</v>
      </c>
      <c r="E2">
        <v>4</v>
      </c>
      <c r="F2">
        <v>2</v>
      </c>
    </row>
    <row r="3" spans="1:18" x14ac:dyDescent="0.55000000000000004">
      <c r="A3">
        <v>3</v>
      </c>
      <c r="B3">
        <v>4</v>
      </c>
      <c r="C3">
        <v>4</v>
      </c>
      <c r="D3">
        <v>5</v>
      </c>
      <c r="E3">
        <v>4</v>
      </c>
      <c r="F3">
        <v>2</v>
      </c>
      <c r="J3" s="47" t="s">
        <v>279</v>
      </c>
      <c r="K3" s="47"/>
    </row>
    <row r="4" spans="1:18" x14ac:dyDescent="0.55000000000000004">
      <c r="A4">
        <v>3</v>
      </c>
      <c r="B4">
        <v>4</v>
      </c>
      <c r="C4">
        <v>2</v>
      </c>
      <c r="D4">
        <v>7</v>
      </c>
      <c r="E4">
        <v>4</v>
      </c>
      <c r="F4">
        <v>2</v>
      </c>
      <c r="J4" t="s">
        <v>280</v>
      </c>
      <c r="K4">
        <v>0.81691472501622109</v>
      </c>
    </row>
    <row r="5" spans="1:18" x14ac:dyDescent="0.55000000000000004">
      <c r="A5">
        <v>2.5</v>
      </c>
      <c r="B5">
        <v>4</v>
      </c>
      <c r="C5">
        <v>4</v>
      </c>
      <c r="D5">
        <v>5</v>
      </c>
      <c r="E5">
        <v>4</v>
      </c>
      <c r="F5">
        <v>2</v>
      </c>
      <c r="J5" t="s">
        <v>281</v>
      </c>
      <c r="K5">
        <v>0.66734966794832817</v>
      </c>
    </row>
    <row r="6" spans="1:18" x14ac:dyDescent="0.55000000000000004">
      <c r="A6">
        <v>3.5</v>
      </c>
      <c r="B6">
        <v>1</v>
      </c>
      <c r="C6">
        <v>4</v>
      </c>
      <c r="D6">
        <v>7</v>
      </c>
      <c r="E6">
        <v>3</v>
      </c>
      <c r="F6">
        <v>2</v>
      </c>
      <c r="J6" t="s">
        <v>282</v>
      </c>
      <c r="K6">
        <v>0.65263062670710381</v>
      </c>
    </row>
    <row r="7" spans="1:18" x14ac:dyDescent="0.55000000000000004">
      <c r="A7">
        <v>2.5</v>
      </c>
      <c r="B7">
        <v>4</v>
      </c>
      <c r="C7">
        <v>4</v>
      </c>
      <c r="D7">
        <v>5</v>
      </c>
      <c r="E7">
        <v>4</v>
      </c>
      <c r="F7">
        <v>2</v>
      </c>
      <c r="J7" t="s">
        <v>283</v>
      </c>
      <c r="K7">
        <v>0.31056168245388727</v>
      </c>
    </row>
    <row r="8" spans="1:18" ht="14.7" thickBot="1" x14ac:dyDescent="0.6">
      <c r="A8">
        <v>2.5</v>
      </c>
      <c r="B8">
        <v>4</v>
      </c>
      <c r="C8">
        <v>4</v>
      </c>
      <c r="D8">
        <v>5</v>
      </c>
      <c r="E8">
        <v>4</v>
      </c>
      <c r="F8">
        <v>2</v>
      </c>
      <c r="J8" s="45" t="s">
        <v>284</v>
      </c>
      <c r="K8" s="45">
        <v>119</v>
      </c>
    </row>
    <row r="9" spans="1:18" x14ac:dyDescent="0.55000000000000004">
      <c r="A9">
        <v>2.5</v>
      </c>
      <c r="B9">
        <v>4</v>
      </c>
      <c r="C9">
        <v>4</v>
      </c>
      <c r="D9">
        <v>5</v>
      </c>
      <c r="E9">
        <v>4</v>
      </c>
      <c r="F9">
        <v>2</v>
      </c>
    </row>
    <row r="10" spans="1:18" ht="14.7" thickBot="1" x14ac:dyDescent="0.6">
      <c r="A10">
        <v>3</v>
      </c>
      <c r="B10">
        <v>4</v>
      </c>
      <c r="C10">
        <v>4</v>
      </c>
      <c r="D10">
        <v>5</v>
      </c>
      <c r="E10">
        <v>4</v>
      </c>
      <c r="F10">
        <v>2</v>
      </c>
      <c r="J10" t="s">
        <v>285</v>
      </c>
    </row>
    <row r="11" spans="1:18" x14ac:dyDescent="0.55000000000000004">
      <c r="A11">
        <v>2.5</v>
      </c>
      <c r="B11">
        <v>2</v>
      </c>
      <c r="C11">
        <v>7</v>
      </c>
      <c r="D11">
        <v>3</v>
      </c>
      <c r="E11">
        <v>3</v>
      </c>
      <c r="F11">
        <v>2</v>
      </c>
      <c r="J11" s="46"/>
      <c r="K11" s="46" t="s">
        <v>290</v>
      </c>
      <c r="L11" s="46" t="s">
        <v>291</v>
      </c>
      <c r="M11" s="46" t="s">
        <v>292</v>
      </c>
      <c r="N11" s="46" t="s">
        <v>53</v>
      </c>
      <c r="O11" s="46" t="s">
        <v>293</v>
      </c>
    </row>
    <row r="12" spans="1:18" x14ac:dyDescent="0.55000000000000004">
      <c r="A12">
        <v>3</v>
      </c>
      <c r="B12">
        <v>3</v>
      </c>
      <c r="C12">
        <v>1</v>
      </c>
      <c r="D12">
        <v>7</v>
      </c>
      <c r="E12">
        <v>5</v>
      </c>
      <c r="F12">
        <v>2</v>
      </c>
      <c r="J12" t="s">
        <v>286</v>
      </c>
      <c r="K12">
        <v>5</v>
      </c>
      <c r="L12">
        <v>21.864506154540315</v>
      </c>
      <c r="M12">
        <v>4.372901230908063</v>
      </c>
      <c r="N12">
        <v>45.339207697797981</v>
      </c>
      <c r="O12">
        <v>1.7912910819683752E-25</v>
      </c>
    </row>
    <row r="13" spans="1:18" x14ac:dyDescent="0.55000000000000004">
      <c r="A13">
        <v>3</v>
      </c>
      <c r="B13">
        <v>4</v>
      </c>
      <c r="C13">
        <v>4</v>
      </c>
      <c r="D13">
        <v>5</v>
      </c>
      <c r="E13">
        <v>4</v>
      </c>
      <c r="F13">
        <v>2</v>
      </c>
      <c r="J13" t="s">
        <v>287</v>
      </c>
      <c r="K13">
        <v>113</v>
      </c>
      <c r="L13">
        <v>10.89868712277057</v>
      </c>
      <c r="M13">
        <v>9.6448558608589113E-2</v>
      </c>
    </row>
    <row r="14" spans="1:18" ht="14.7" thickBot="1" x14ac:dyDescent="0.6">
      <c r="A14">
        <v>3</v>
      </c>
      <c r="B14">
        <v>3</v>
      </c>
      <c r="C14">
        <v>2</v>
      </c>
      <c r="D14">
        <v>7</v>
      </c>
      <c r="E14">
        <v>5</v>
      </c>
      <c r="F14">
        <v>2</v>
      </c>
      <c r="J14" s="45" t="s">
        <v>288</v>
      </c>
      <c r="K14" s="45">
        <v>118</v>
      </c>
      <c r="L14" s="45">
        <v>32.763193277310883</v>
      </c>
      <c r="M14" s="45"/>
      <c r="N14" s="45"/>
      <c r="O14" s="45"/>
    </row>
    <row r="15" spans="1:18" ht="14.7" thickBot="1" x14ac:dyDescent="0.6">
      <c r="A15">
        <v>3.5</v>
      </c>
      <c r="B15">
        <v>4</v>
      </c>
      <c r="C15">
        <v>4</v>
      </c>
      <c r="D15">
        <v>5</v>
      </c>
      <c r="E15">
        <v>6</v>
      </c>
      <c r="F15">
        <v>2</v>
      </c>
    </row>
    <row r="16" spans="1:18" x14ac:dyDescent="0.55000000000000004">
      <c r="A16">
        <v>3.5</v>
      </c>
      <c r="B16">
        <v>4</v>
      </c>
      <c r="C16">
        <v>4</v>
      </c>
      <c r="D16">
        <v>5</v>
      </c>
      <c r="E16">
        <v>4</v>
      </c>
      <c r="F16">
        <v>2</v>
      </c>
      <c r="J16" s="46"/>
      <c r="K16" s="46" t="s">
        <v>294</v>
      </c>
      <c r="L16" s="46" t="s">
        <v>283</v>
      </c>
      <c r="M16" s="46" t="s">
        <v>295</v>
      </c>
      <c r="N16" s="46" t="s">
        <v>296</v>
      </c>
      <c r="O16" s="46" t="s">
        <v>297</v>
      </c>
      <c r="P16" s="46" t="s">
        <v>298</v>
      </c>
      <c r="Q16" s="46" t="s">
        <v>299</v>
      </c>
      <c r="R16" s="46" t="s">
        <v>300</v>
      </c>
    </row>
    <row r="17" spans="1:18" x14ac:dyDescent="0.55000000000000004">
      <c r="A17">
        <v>3.5</v>
      </c>
      <c r="B17">
        <v>4</v>
      </c>
      <c r="C17">
        <v>4</v>
      </c>
      <c r="D17">
        <v>5</v>
      </c>
      <c r="E17">
        <v>4</v>
      </c>
      <c r="F17">
        <v>2</v>
      </c>
      <c r="J17" t="s">
        <v>289</v>
      </c>
      <c r="K17">
        <v>1.6703132033489485</v>
      </c>
      <c r="L17">
        <v>0.38137755546925189</v>
      </c>
      <c r="M17">
        <v>4.3796840673903148</v>
      </c>
      <c r="N17">
        <v>2.6691794272655722E-5</v>
      </c>
      <c r="O17">
        <v>0.91473548093169077</v>
      </c>
      <c r="P17">
        <v>2.4258909257662062</v>
      </c>
      <c r="Q17">
        <v>0.91473548093169077</v>
      </c>
      <c r="R17">
        <v>2.4258909257662062</v>
      </c>
    </row>
    <row r="18" spans="1:18" x14ac:dyDescent="0.55000000000000004">
      <c r="A18">
        <v>3</v>
      </c>
      <c r="B18">
        <v>4</v>
      </c>
      <c r="C18">
        <v>4</v>
      </c>
      <c r="D18">
        <v>5</v>
      </c>
      <c r="E18">
        <v>4</v>
      </c>
      <c r="F18">
        <v>2</v>
      </c>
      <c r="J18" t="s">
        <v>27</v>
      </c>
      <c r="K18">
        <v>-1.2119658841897933E-2</v>
      </c>
      <c r="L18">
        <v>2.5557855757289034E-2</v>
      </c>
      <c r="M18">
        <v>-0.47420483772162453</v>
      </c>
      <c r="N18">
        <v>0.63626888778420021</v>
      </c>
      <c r="O18">
        <v>-6.2754380696991921E-2</v>
      </c>
      <c r="P18">
        <v>3.8515063013196051E-2</v>
      </c>
      <c r="Q18">
        <v>-6.2754380696991921E-2</v>
      </c>
      <c r="R18">
        <v>3.8515063013196051E-2</v>
      </c>
    </row>
    <row r="19" spans="1:18" x14ac:dyDescent="0.55000000000000004">
      <c r="A19">
        <v>3</v>
      </c>
      <c r="B19">
        <v>4</v>
      </c>
      <c r="C19">
        <v>4</v>
      </c>
      <c r="D19">
        <v>5</v>
      </c>
      <c r="E19">
        <v>4</v>
      </c>
      <c r="F19">
        <v>2</v>
      </c>
      <c r="J19" t="s">
        <v>31</v>
      </c>
      <c r="K19">
        <v>-5.2159988345160099E-2</v>
      </c>
      <c r="L19">
        <v>4.2569496762737101E-2</v>
      </c>
      <c r="M19">
        <v>-1.2252902268466084</v>
      </c>
      <c r="N19">
        <v>0.22301369693797368</v>
      </c>
      <c r="O19">
        <v>-0.13649783924166087</v>
      </c>
      <c r="P19">
        <v>3.2177862551340683E-2</v>
      </c>
      <c r="Q19">
        <v>-0.13649783924166087</v>
      </c>
      <c r="R19">
        <v>3.2177862551340683E-2</v>
      </c>
    </row>
    <row r="20" spans="1:18" x14ac:dyDescent="0.55000000000000004">
      <c r="A20">
        <v>3</v>
      </c>
      <c r="B20">
        <v>4</v>
      </c>
      <c r="C20">
        <v>4</v>
      </c>
      <c r="D20">
        <v>5</v>
      </c>
      <c r="E20">
        <v>4</v>
      </c>
      <c r="F20">
        <v>2</v>
      </c>
      <c r="J20" t="s">
        <v>28</v>
      </c>
      <c r="K20">
        <v>-3.6807406203719785E-2</v>
      </c>
      <c r="L20">
        <v>3.8760658960368309E-2</v>
      </c>
      <c r="M20">
        <v>-0.94960733875433667</v>
      </c>
      <c r="N20">
        <v>0.34433835929437473</v>
      </c>
      <c r="O20">
        <v>-0.11359926245397142</v>
      </c>
      <c r="P20">
        <v>3.9984450046531846E-2</v>
      </c>
      <c r="Q20">
        <v>-0.11359926245397142</v>
      </c>
      <c r="R20">
        <v>3.9984450046531846E-2</v>
      </c>
    </row>
    <row r="21" spans="1:18" x14ac:dyDescent="0.55000000000000004">
      <c r="A21">
        <v>2.5</v>
      </c>
      <c r="B21">
        <v>4</v>
      </c>
      <c r="C21">
        <v>4</v>
      </c>
      <c r="D21">
        <v>5</v>
      </c>
      <c r="E21">
        <v>4</v>
      </c>
      <c r="F21">
        <v>2</v>
      </c>
      <c r="J21" t="s">
        <v>29</v>
      </c>
      <c r="K21">
        <v>8.1939508555192945E-3</v>
      </c>
      <c r="L21">
        <v>2.6276482455090063E-2</v>
      </c>
      <c r="M21">
        <v>0.31183591142854927</v>
      </c>
      <c r="N21">
        <v>0.7557398641208013</v>
      </c>
      <c r="O21">
        <v>-4.3864500099009107E-2</v>
      </c>
      <c r="P21">
        <v>6.0252401810047693E-2</v>
      </c>
      <c r="Q21">
        <v>-4.3864500099009107E-2</v>
      </c>
      <c r="R21">
        <v>6.0252401810047693E-2</v>
      </c>
    </row>
    <row r="22" spans="1:18" ht="14.7" thickBot="1" x14ac:dyDescent="0.6">
      <c r="A22">
        <v>2.5</v>
      </c>
      <c r="B22">
        <v>4</v>
      </c>
      <c r="C22">
        <v>4</v>
      </c>
      <c r="D22">
        <v>5</v>
      </c>
      <c r="E22">
        <v>4</v>
      </c>
      <c r="F22">
        <v>2</v>
      </c>
      <c r="J22" s="45" t="s">
        <v>277</v>
      </c>
      <c r="K22" s="45">
        <v>0.87241554095895713</v>
      </c>
      <c r="L22" s="45">
        <v>6.0405954862840533E-2</v>
      </c>
      <c r="M22" s="45">
        <v>14.442542013281447</v>
      </c>
      <c r="N22" s="45">
        <v>2.0090421252976744E-27</v>
      </c>
      <c r="O22" s="45">
        <v>0.7527404495930089</v>
      </c>
      <c r="P22" s="45">
        <v>0.99209063232490535</v>
      </c>
      <c r="Q22" s="45">
        <v>0.7527404495930089</v>
      </c>
      <c r="R22" s="45">
        <v>0.99209063232490535</v>
      </c>
    </row>
    <row r="23" spans="1:18" x14ac:dyDescent="0.55000000000000004">
      <c r="A23">
        <v>3.5</v>
      </c>
      <c r="B23">
        <v>4</v>
      </c>
      <c r="C23">
        <v>4</v>
      </c>
      <c r="D23">
        <v>5</v>
      </c>
      <c r="E23">
        <v>4</v>
      </c>
      <c r="F23">
        <v>2</v>
      </c>
    </row>
    <row r="24" spans="1:18" x14ac:dyDescent="0.55000000000000004">
      <c r="A24">
        <v>3</v>
      </c>
      <c r="B24">
        <v>4</v>
      </c>
      <c r="C24">
        <v>4</v>
      </c>
      <c r="D24">
        <v>5</v>
      </c>
      <c r="E24">
        <v>4</v>
      </c>
      <c r="F24">
        <v>2</v>
      </c>
    </row>
    <row r="25" spans="1:18" x14ac:dyDescent="0.55000000000000004">
      <c r="A25">
        <v>3.5</v>
      </c>
      <c r="B25">
        <v>4</v>
      </c>
      <c r="C25">
        <v>4</v>
      </c>
      <c r="D25">
        <v>5</v>
      </c>
      <c r="E25">
        <v>4</v>
      </c>
      <c r="F25">
        <v>2</v>
      </c>
    </row>
    <row r="26" spans="1:18" x14ac:dyDescent="0.55000000000000004">
      <c r="A26">
        <v>3.5</v>
      </c>
      <c r="B26">
        <v>4</v>
      </c>
      <c r="C26">
        <v>4</v>
      </c>
      <c r="D26">
        <v>5</v>
      </c>
      <c r="E26">
        <v>4</v>
      </c>
      <c r="F26">
        <v>2</v>
      </c>
      <c r="J26" t="s">
        <v>301</v>
      </c>
    </row>
    <row r="27" spans="1:18" ht="14.7" thickBot="1" x14ac:dyDescent="0.6">
      <c r="A27">
        <v>3</v>
      </c>
      <c r="B27">
        <v>4</v>
      </c>
      <c r="C27">
        <v>4</v>
      </c>
      <c r="D27">
        <v>5</v>
      </c>
      <c r="E27">
        <v>4</v>
      </c>
      <c r="F27">
        <v>2</v>
      </c>
    </row>
    <row r="28" spans="1:18" x14ac:dyDescent="0.55000000000000004">
      <c r="A28">
        <v>2.5</v>
      </c>
      <c r="B28">
        <v>4</v>
      </c>
      <c r="C28">
        <v>4</v>
      </c>
      <c r="D28">
        <v>5</v>
      </c>
      <c r="E28">
        <v>4</v>
      </c>
      <c r="F28">
        <v>2</v>
      </c>
      <c r="J28" s="46" t="s">
        <v>302</v>
      </c>
      <c r="K28" s="46" t="s">
        <v>303</v>
      </c>
      <c r="L28" s="46" t="s">
        <v>304</v>
      </c>
    </row>
    <row r="29" spans="1:18" x14ac:dyDescent="0.55000000000000004">
      <c r="A29">
        <v>3.5</v>
      </c>
      <c r="B29">
        <v>3</v>
      </c>
      <c r="C29">
        <v>4</v>
      </c>
      <c r="D29">
        <v>6</v>
      </c>
      <c r="E29">
        <v>3</v>
      </c>
      <c r="F29">
        <v>2</v>
      </c>
      <c r="J29">
        <v>1</v>
      </c>
      <c r="K29">
        <v>3.0067644689221087</v>
      </c>
      <c r="L29">
        <v>0.49323553107789131</v>
      </c>
    </row>
    <row r="30" spans="1:18" x14ac:dyDescent="0.55000000000000004">
      <c r="A30">
        <v>2.5</v>
      </c>
      <c r="B30">
        <v>4</v>
      </c>
      <c r="C30">
        <v>3</v>
      </c>
      <c r="D30">
        <v>7</v>
      </c>
      <c r="E30">
        <v>4</v>
      </c>
      <c r="F30">
        <v>2</v>
      </c>
      <c r="J30">
        <v>2</v>
      </c>
      <c r="K30">
        <v>3.0067644689221087</v>
      </c>
      <c r="L30">
        <v>-6.7644689221086907E-3</v>
      </c>
    </row>
    <row r="31" spans="1:18" x14ac:dyDescent="0.55000000000000004">
      <c r="A31">
        <v>2.5</v>
      </c>
      <c r="B31">
        <v>4</v>
      </c>
      <c r="C31">
        <v>4</v>
      </c>
      <c r="D31">
        <v>5</v>
      </c>
      <c r="E31">
        <v>4</v>
      </c>
      <c r="F31">
        <v>2</v>
      </c>
      <c r="J31">
        <v>3</v>
      </c>
      <c r="K31">
        <v>3.0374696332049895</v>
      </c>
      <c r="L31">
        <v>-3.7469633204989528E-2</v>
      </c>
    </row>
    <row r="32" spans="1:18" x14ac:dyDescent="0.55000000000000004">
      <c r="A32">
        <v>3.5</v>
      </c>
      <c r="B32">
        <v>4</v>
      </c>
      <c r="C32">
        <v>4</v>
      </c>
      <c r="D32">
        <v>5</v>
      </c>
      <c r="E32">
        <v>4</v>
      </c>
      <c r="F32">
        <v>2</v>
      </c>
      <c r="J32">
        <v>4</v>
      </c>
      <c r="K32">
        <v>3.0067644689221087</v>
      </c>
      <c r="L32">
        <v>-0.50676446892210869</v>
      </c>
    </row>
    <row r="33" spans="1:12" x14ac:dyDescent="0.55000000000000004">
      <c r="A33">
        <v>3</v>
      </c>
      <c r="B33">
        <v>4</v>
      </c>
      <c r="C33">
        <v>4</v>
      </c>
      <c r="D33">
        <v>5</v>
      </c>
      <c r="E33">
        <v>4</v>
      </c>
      <c r="F33">
        <v>2</v>
      </c>
      <c r="J33">
        <v>5</v>
      </c>
      <c r="K33">
        <v>2.9613146821848439</v>
      </c>
      <c r="L33">
        <v>0.53868531781515605</v>
      </c>
    </row>
    <row r="34" spans="1:12" x14ac:dyDescent="0.55000000000000004">
      <c r="A34">
        <v>2.5</v>
      </c>
      <c r="B34">
        <v>4</v>
      </c>
      <c r="C34">
        <v>4</v>
      </c>
      <c r="D34">
        <v>5</v>
      </c>
      <c r="E34">
        <v>4</v>
      </c>
      <c r="F34">
        <v>2</v>
      </c>
      <c r="J34">
        <v>6</v>
      </c>
      <c r="K34">
        <v>3.0067644689221087</v>
      </c>
      <c r="L34">
        <v>-0.50676446892210869</v>
      </c>
    </row>
    <row r="35" spans="1:12" x14ac:dyDescent="0.55000000000000004">
      <c r="A35">
        <v>3.5</v>
      </c>
      <c r="B35">
        <v>4</v>
      </c>
      <c r="C35">
        <v>4</v>
      </c>
      <c r="D35">
        <v>5</v>
      </c>
      <c r="E35">
        <v>4</v>
      </c>
      <c r="F35">
        <v>2</v>
      </c>
      <c r="J35">
        <v>7</v>
      </c>
      <c r="K35">
        <v>3.0067644689221087</v>
      </c>
      <c r="L35">
        <v>-0.50676446892210869</v>
      </c>
    </row>
    <row r="36" spans="1:12" x14ac:dyDescent="0.55000000000000004">
      <c r="A36">
        <v>2.5</v>
      </c>
      <c r="B36">
        <v>4</v>
      </c>
      <c r="C36">
        <v>4</v>
      </c>
      <c r="D36">
        <v>5</v>
      </c>
      <c r="E36">
        <v>4</v>
      </c>
      <c r="F36">
        <v>2</v>
      </c>
      <c r="J36">
        <v>8</v>
      </c>
      <c r="K36">
        <v>3.0067644689221087</v>
      </c>
      <c r="L36">
        <v>-0.50676446892210869</v>
      </c>
    </row>
    <row r="37" spans="1:12" x14ac:dyDescent="0.55000000000000004">
      <c r="A37">
        <v>3.5</v>
      </c>
      <c r="B37">
        <v>4</v>
      </c>
      <c r="C37">
        <v>4</v>
      </c>
      <c r="D37">
        <v>5</v>
      </c>
      <c r="E37">
        <v>4</v>
      </c>
      <c r="F37">
        <v>2</v>
      </c>
      <c r="J37">
        <v>9</v>
      </c>
      <c r="K37">
        <v>3.0067644689221087</v>
      </c>
      <c r="L37">
        <v>-6.7644689221086907E-3</v>
      </c>
    </row>
    <row r="38" spans="1:12" x14ac:dyDescent="0.55000000000000004">
      <c r="A38">
        <v>2.5</v>
      </c>
      <c r="B38">
        <v>4</v>
      </c>
      <c r="C38">
        <v>4</v>
      </c>
      <c r="D38">
        <v>5</v>
      </c>
      <c r="E38">
        <v>4</v>
      </c>
      <c r="F38">
        <v>2</v>
      </c>
      <c r="J38">
        <v>10</v>
      </c>
      <c r="K38">
        <v>2.939944683122345</v>
      </c>
      <c r="L38">
        <v>-0.43994468312234503</v>
      </c>
    </row>
    <row r="39" spans="1:12" x14ac:dyDescent="0.55000000000000004">
      <c r="A39">
        <v>3.5</v>
      </c>
      <c r="B39">
        <v>3</v>
      </c>
      <c r="C39">
        <v>4</v>
      </c>
      <c r="D39">
        <v>6</v>
      </c>
      <c r="E39">
        <v>3</v>
      </c>
      <c r="F39">
        <v>2</v>
      </c>
      <c r="J39">
        <v>11</v>
      </c>
      <c r="K39">
        <v>3.1099432312475672</v>
      </c>
      <c r="L39">
        <v>-0.10994323124756722</v>
      </c>
    </row>
    <row r="40" spans="1:12" x14ac:dyDescent="0.55000000000000004">
      <c r="A40">
        <v>3</v>
      </c>
      <c r="B40">
        <v>7</v>
      </c>
      <c r="C40">
        <v>3</v>
      </c>
      <c r="D40">
        <v>7</v>
      </c>
      <c r="E40">
        <v>3</v>
      </c>
      <c r="F40">
        <v>2</v>
      </c>
      <c r="J40">
        <v>12</v>
      </c>
      <c r="K40">
        <v>3.0067644689221087</v>
      </c>
      <c r="L40">
        <v>-6.7644689221086907E-3</v>
      </c>
    </row>
    <row r="41" spans="1:12" x14ac:dyDescent="0.55000000000000004">
      <c r="A41">
        <v>3</v>
      </c>
      <c r="B41">
        <v>7</v>
      </c>
      <c r="C41">
        <v>5</v>
      </c>
      <c r="D41">
        <v>3</v>
      </c>
      <c r="E41">
        <v>1</v>
      </c>
      <c r="F41">
        <v>2</v>
      </c>
      <c r="J41">
        <v>13</v>
      </c>
      <c r="K41">
        <v>3.0577832429024068</v>
      </c>
      <c r="L41">
        <v>-5.7783242902406773E-2</v>
      </c>
    </row>
    <row r="42" spans="1:12" x14ac:dyDescent="0.55000000000000004">
      <c r="A42">
        <v>2.5</v>
      </c>
      <c r="B42">
        <v>4</v>
      </c>
      <c r="C42">
        <v>4</v>
      </c>
      <c r="D42">
        <v>5</v>
      </c>
      <c r="E42">
        <v>4</v>
      </c>
      <c r="F42">
        <v>2</v>
      </c>
      <c r="J42">
        <v>14</v>
      </c>
      <c r="K42">
        <v>3.0231523706331478</v>
      </c>
      <c r="L42">
        <v>0.47684762936685221</v>
      </c>
    </row>
    <row r="43" spans="1:12" x14ac:dyDescent="0.55000000000000004">
      <c r="A43">
        <v>3.5</v>
      </c>
      <c r="B43">
        <v>3</v>
      </c>
      <c r="C43">
        <v>4</v>
      </c>
      <c r="D43">
        <v>3</v>
      </c>
      <c r="E43">
        <v>7</v>
      </c>
      <c r="F43">
        <v>2</v>
      </c>
      <c r="J43">
        <v>15</v>
      </c>
      <c r="K43">
        <v>3.0067644689221087</v>
      </c>
      <c r="L43">
        <v>0.49323553107789131</v>
      </c>
    </row>
    <row r="44" spans="1:12" x14ac:dyDescent="0.55000000000000004">
      <c r="A44">
        <v>3.5</v>
      </c>
      <c r="B44">
        <v>6</v>
      </c>
      <c r="C44">
        <v>6</v>
      </c>
      <c r="D44">
        <v>1</v>
      </c>
      <c r="E44">
        <v>2</v>
      </c>
      <c r="F44">
        <v>2</v>
      </c>
      <c r="J44">
        <v>16</v>
      </c>
      <c r="K44">
        <v>3.0067644689221087</v>
      </c>
      <c r="L44">
        <v>0.49323553107789131</v>
      </c>
    </row>
    <row r="45" spans="1:12" x14ac:dyDescent="0.55000000000000004">
      <c r="A45">
        <v>2.5</v>
      </c>
      <c r="B45">
        <v>4</v>
      </c>
      <c r="C45">
        <v>4</v>
      </c>
      <c r="D45">
        <v>5</v>
      </c>
      <c r="E45">
        <v>4</v>
      </c>
      <c r="F45">
        <v>2</v>
      </c>
      <c r="J45">
        <v>17</v>
      </c>
      <c r="K45">
        <v>3.0067644689221087</v>
      </c>
      <c r="L45">
        <v>-6.7644689221086907E-3</v>
      </c>
    </row>
    <row r="46" spans="1:12" x14ac:dyDescent="0.55000000000000004">
      <c r="A46">
        <v>3.5</v>
      </c>
      <c r="B46">
        <v>4</v>
      </c>
      <c r="C46">
        <v>4</v>
      </c>
      <c r="D46">
        <v>5</v>
      </c>
      <c r="E46">
        <v>4</v>
      </c>
      <c r="F46">
        <v>2</v>
      </c>
      <c r="J46">
        <v>18</v>
      </c>
      <c r="K46">
        <v>3.0067644689221087</v>
      </c>
      <c r="L46">
        <v>-6.7644689221086907E-3</v>
      </c>
    </row>
    <row r="47" spans="1:12" x14ac:dyDescent="0.55000000000000004">
      <c r="A47">
        <v>3.5</v>
      </c>
      <c r="B47">
        <v>4</v>
      </c>
      <c r="C47">
        <v>4</v>
      </c>
      <c r="D47">
        <v>5</v>
      </c>
      <c r="E47">
        <v>4</v>
      </c>
      <c r="F47">
        <v>2</v>
      </c>
      <c r="J47">
        <v>19</v>
      </c>
      <c r="K47">
        <v>3.0067644689221087</v>
      </c>
      <c r="L47">
        <v>-6.7644689221086907E-3</v>
      </c>
    </row>
    <row r="48" spans="1:12" x14ac:dyDescent="0.55000000000000004">
      <c r="A48">
        <v>3</v>
      </c>
      <c r="B48">
        <v>7</v>
      </c>
      <c r="C48">
        <v>4</v>
      </c>
      <c r="D48">
        <v>5</v>
      </c>
      <c r="E48">
        <v>6</v>
      </c>
      <c r="F48">
        <v>2</v>
      </c>
      <c r="J48">
        <v>20</v>
      </c>
      <c r="K48">
        <v>3.0067644689221087</v>
      </c>
      <c r="L48">
        <v>-0.50676446892210869</v>
      </c>
    </row>
    <row r="49" spans="1:12" x14ac:dyDescent="0.55000000000000004">
      <c r="A49">
        <v>2.5</v>
      </c>
      <c r="B49">
        <v>4</v>
      </c>
      <c r="C49">
        <v>4</v>
      </c>
      <c r="D49">
        <v>5</v>
      </c>
      <c r="E49">
        <v>4</v>
      </c>
      <c r="F49">
        <v>2</v>
      </c>
      <c r="J49">
        <v>21</v>
      </c>
      <c r="K49">
        <v>3.0067644689221087</v>
      </c>
      <c r="L49">
        <v>-0.50676446892210869</v>
      </c>
    </row>
    <row r="50" spans="1:12" x14ac:dyDescent="0.55000000000000004">
      <c r="A50">
        <v>3</v>
      </c>
      <c r="B50">
        <v>4</v>
      </c>
      <c r="C50">
        <v>4</v>
      </c>
      <c r="D50">
        <v>5</v>
      </c>
      <c r="E50">
        <v>4</v>
      </c>
      <c r="F50">
        <v>2</v>
      </c>
      <c r="J50">
        <v>22</v>
      </c>
      <c r="K50">
        <v>3.0067644689221087</v>
      </c>
      <c r="L50">
        <v>0.49323553107789131</v>
      </c>
    </row>
    <row r="51" spans="1:12" x14ac:dyDescent="0.55000000000000004">
      <c r="A51">
        <v>3.5</v>
      </c>
      <c r="B51">
        <v>3</v>
      </c>
      <c r="C51">
        <v>1</v>
      </c>
      <c r="D51">
        <v>7</v>
      </c>
      <c r="E51">
        <v>5</v>
      </c>
      <c r="F51">
        <v>2</v>
      </c>
      <c r="J51">
        <v>23</v>
      </c>
      <c r="K51">
        <v>3.0067644689221087</v>
      </c>
      <c r="L51">
        <v>-6.7644689221086907E-3</v>
      </c>
    </row>
    <row r="52" spans="1:12" x14ac:dyDescent="0.55000000000000004">
      <c r="A52">
        <v>3.5</v>
      </c>
      <c r="B52">
        <v>4</v>
      </c>
      <c r="C52">
        <v>4</v>
      </c>
      <c r="D52">
        <v>5</v>
      </c>
      <c r="E52">
        <v>4</v>
      </c>
      <c r="F52">
        <v>2</v>
      </c>
      <c r="J52">
        <v>24</v>
      </c>
      <c r="K52">
        <v>3.0067644689221087</v>
      </c>
      <c r="L52">
        <v>0.49323553107789131</v>
      </c>
    </row>
    <row r="53" spans="1:12" x14ac:dyDescent="0.55000000000000004">
      <c r="A53">
        <v>2.5</v>
      </c>
      <c r="B53">
        <v>4</v>
      </c>
      <c r="C53">
        <v>4</v>
      </c>
      <c r="D53">
        <v>5</v>
      </c>
      <c r="E53">
        <v>4</v>
      </c>
      <c r="F53">
        <v>2</v>
      </c>
      <c r="J53">
        <v>25</v>
      </c>
      <c r="K53">
        <v>3.0067644689221087</v>
      </c>
      <c r="L53">
        <v>0.49323553107789131</v>
      </c>
    </row>
    <row r="54" spans="1:12" x14ac:dyDescent="0.55000000000000004">
      <c r="A54">
        <v>3</v>
      </c>
      <c r="B54">
        <v>4</v>
      </c>
      <c r="C54">
        <v>4</v>
      </c>
      <c r="D54">
        <v>5</v>
      </c>
      <c r="E54">
        <v>4</v>
      </c>
      <c r="F54">
        <v>2</v>
      </c>
      <c r="J54">
        <v>26</v>
      </c>
      <c r="K54">
        <v>3.0067644689221087</v>
      </c>
      <c r="L54">
        <v>-6.7644689221086907E-3</v>
      </c>
    </row>
    <row r="55" spans="1:12" x14ac:dyDescent="0.55000000000000004">
      <c r="A55">
        <v>2.5</v>
      </c>
      <c r="B55">
        <v>4</v>
      </c>
      <c r="C55">
        <v>4</v>
      </c>
      <c r="D55">
        <v>5</v>
      </c>
      <c r="E55">
        <v>4</v>
      </c>
      <c r="F55">
        <v>2</v>
      </c>
      <c r="J55">
        <v>27</v>
      </c>
      <c r="K55">
        <v>3.0067644689221087</v>
      </c>
      <c r="L55">
        <v>-0.50676446892210869</v>
      </c>
    </row>
    <row r="56" spans="1:12" x14ac:dyDescent="0.55000000000000004">
      <c r="A56">
        <v>3.5</v>
      </c>
      <c r="B56">
        <v>4</v>
      </c>
      <c r="C56">
        <v>4</v>
      </c>
      <c r="D56">
        <v>5</v>
      </c>
      <c r="E56">
        <v>4</v>
      </c>
      <c r="F56">
        <v>2</v>
      </c>
      <c r="J56">
        <v>28</v>
      </c>
      <c r="K56">
        <v>2.9738827707047681</v>
      </c>
      <c r="L56">
        <v>0.52611722929523186</v>
      </c>
    </row>
    <row r="57" spans="1:12" x14ac:dyDescent="0.55000000000000004">
      <c r="A57">
        <v>2.5</v>
      </c>
      <c r="B57">
        <v>4</v>
      </c>
      <c r="C57">
        <v>4</v>
      </c>
      <c r="D57">
        <v>5</v>
      </c>
      <c r="E57">
        <v>4</v>
      </c>
      <c r="F57">
        <v>2</v>
      </c>
      <c r="J57">
        <v>29</v>
      </c>
      <c r="K57">
        <v>2.9853096448598295</v>
      </c>
      <c r="L57">
        <v>-0.48530964485982953</v>
      </c>
    </row>
    <row r="58" spans="1:12" x14ac:dyDescent="0.55000000000000004">
      <c r="A58">
        <v>3</v>
      </c>
      <c r="B58">
        <v>1</v>
      </c>
      <c r="C58">
        <v>5</v>
      </c>
      <c r="D58">
        <v>5</v>
      </c>
      <c r="E58">
        <v>7</v>
      </c>
      <c r="F58">
        <v>2</v>
      </c>
      <c r="J58">
        <v>30</v>
      </c>
      <c r="K58">
        <v>3.0067644689221087</v>
      </c>
      <c r="L58">
        <v>-0.50676446892210869</v>
      </c>
    </row>
    <row r="59" spans="1:12" x14ac:dyDescent="0.55000000000000004">
      <c r="A59">
        <v>3</v>
      </c>
      <c r="B59">
        <v>4</v>
      </c>
      <c r="C59">
        <v>4</v>
      </c>
      <c r="D59">
        <v>5</v>
      </c>
      <c r="E59">
        <v>4</v>
      </c>
      <c r="F59">
        <v>2</v>
      </c>
      <c r="J59">
        <v>31</v>
      </c>
      <c r="K59">
        <v>3.0067644689221087</v>
      </c>
      <c r="L59">
        <v>0.49323553107789131</v>
      </c>
    </row>
    <row r="60" spans="1:12" x14ac:dyDescent="0.55000000000000004">
      <c r="A60">
        <v>3</v>
      </c>
      <c r="B60">
        <v>4</v>
      </c>
      <c r="C60">
        <v>4</v>
      </c>
      <c r="D60">
        <v>5</v>
      </c>
      <c r="E60">
        <v>4</v>
      </c>
      <c r="F60">
        <v>2</v>
      </c>
      <c r="J60">
        <v>32</v>
      </c>
      <c r="K60">
        <v>3.0067644689221087</v>
      </c>
      <c r="L60">
        <v>-6.7644689221086907E-3</v>
      </c>
    </row>
    <row r="61" spans="1:12" x14ac:dyDescent="0.55000000000000004">
      <c r="A61">
        <v>2.2999999999999998</v>
      </c>
      <c r="B61">
        <v>4</v>
      </c>
      <c r="C61">
        <v>4</v>
      </c>
      <c r="D61">
        <v>5</v>
      </c>
      <c r="E61">
        <v>4</v>
      </c>
      <c r="F61">
        <v>1</v>
      </c>
      <c r="J61">
        <v>33</v>
      </c>
      <c r="K61">
        <v>3.0067644689221087</v>
      </c>
      <c r="L61">
        <v>-0.50676446892210869</v>
      </c>
    </row>
    <row r="62" spans="1:12" x14ac:dyDescent="0.55000000000000004">
      <c r="A62">
        <v>2.2999999999999998</v>
      </c>
      <c r="B62">
        <v>4</v>
      </c>
      <c r="C62">
        <v>4</v>
      </c>
      <c r="D62">
        <v>5</v>
      </c>
      <c r="E62">
        <v>4</v>
      </c>
      <c r="F62">
        <v>1</v>
      </c>
      <c r="J62">
        <v>34</v>
      </c>
      <c r="K62">
        <v>3.0067644689221087</v>
      </c>
      <c r="L62">
        <v>0.49323553107789131</v>
      </c>
    </row>
    <row r="63" spans="1:12" x14ac:dyDescent="0.55000000000000004">
      <c r="A63">
        <v>2.2999999999999998</v>
      </c>
      <c r="B63">
        <v>5</v>
      </c>
      <c r="C63">
        <v>5</v>
      </c>
      <c r="D63">
        <v>2</v>
      </c>
      <c r="E63">
        <v>3</v>
      </c>
      <c r="F63">
        <v>1</v>
      </c>
      <c r="J63">
        <v>35</v>
      </c>
      <c r="K63">
        <v>3.0067644689221087</v>
      </c>
      <c r="L63">
        <v>-0.50676446892210869</v>
      </c>
    </row>
    <row r="64" spans="1:12" x14ac:dyDescent="0.55000000000000004">
      <c r="A64">
        <v>2</v>
      </c>
      <c r="B64">
        <v>7</v>
      </c>
      <c r="C64">
        <v>5</v>
      </c>
      <c r="D64">
        <v>3</v>
      </c>
      <c r="E64">
        <v>1</v>
      </c>
      <c r="F64">
        <v>1</v>
      </c>
      <c r="J64">
        <v>36</v>
      </c>
      <c r="K64">
        <v>3.0067644689221087</v>
      </c>
      <c r="L64">
        <v>0.49323553107789131</v>
      </c>
    </row>
    <row r="65" spans="1:12" x14ac:dyDescent="0.55000000000000004">
      <c r="A65">
        <v>2</v>
      </c>
      <c r="B65">
        <v>4</v>
      </c>
      <c r="C65">
        <v>4</v>
      </c>
      <c r="D65">
        <v>5</v>
      </c>
      <c r="E65">
        <v>4</v>
      </c>
      <c r="F65">
        <v>1</v>
      </c>
      <c r="J65">
        <v>37</v>
      </c>
      <c r="K65">
        <v>3.0067644689221087</v>
      </c>
      <c r="L65">
        <v>-0.50676446892210869</v>
      </c>
    </row>
    <row r="66" spans="1:12" x14ac:dyDescent="0.55000000000000004">
      <c r="A66">
        <v>2.2999999999999998</v>
      </c>
      <c r="B66">
        <v>4</v>
      </c>
      <c r="C66">
        <v>4</v>
      </c>
      <c r="D66">
        <v>5</v>
      </c>
      <c r="E66">
        <v>4</v>
      </c>
      <c r="F66">
        <v>1</v>
      </c>
      <c r="J66">
        <v>38</v>
      </c>
      <c r="K66">
        <v>2.9738827707047681</v>
      </c>
      <c r="L66">
        <v>0.52611722929523186</v>
      </c>
    </row>
    <row r="67" spans="1:12" x14ac:dyDescent="0.55000000000000004">
      <c r="A67">
        <v>2.2999999999999998</v>
      </c>
      <c r="B67">
        <v>3</v>
      </c>
      <c r="C67">
        <v>1</v>
      </c>
      <c r="D67">
        <v>7</v>
      </c>
      <c r="E67">
        <v>5</v>
      </c>
      <c r="F67">
        <v>1</v>
      </c>
      <c r="J67">
        <v>39</v>
      </c>
      <c r="K67">
        <v>2.9407567174786164</v>
      </c>
      <c r="L67">
        <v>5.9243282521383556E-2</v>
      </c>
    </row>
    <row r="68" spans="1:12" x14ac:dyDescent="0.55000000000000004">
      <c r="A68">
        <v>2</v>
      </c>
      <c r="B68">
        <v>4</v>
      </c>
      <c r="C68">
        <v>4</v>
      </c>
      <c r="D68">
        <v>5</v>
      </c>
      <c r="E68">
        <v>4</v>
      </c>
      <c r="F68">
        <v>1</v>
      </c>
      <c r="J68">
        <v>40</v>
      </c>
      <c r="K68">
        <v>2.9672784638921366</v>
      </c>
      <c r="L68">
        <v>3.2721536107863436E-2</v>
      </c>
    </row>
    <row r="69" spans="1:12" x14ac:dyDescent="0.55000000000000004">
      <c r="A69">
        <v>2.2999999999999998</v>
      </c>
      <c r="B69">
        <v>7</v>
      </c>
      <c r="C69">
        <v>4</v>
      </c>
      <c r="D69">
        <v>4</v>
      </c>
      <c r="E69">
        <v>6</v>
      </c>
      <c r="F69">
        <v>1</v>
      </c>
      <c r="J69">
        <v>41</v>
      </c>
      <c r="K69">
        <v>3.0067644689221087</v>
      </c>
      <c r="L69">
        <v>-0.50676446892210869</v>
      </c>
    </row>
    <row r="70" spans="1:12" x14ac:dyDescent="0.55000000000000004">
      <c r="A70">
        <v>2</v>
      </c>
      <c r="B70">
        <v>4</v>
      </c>
      <c r="C70">
        <v>4</v>
      </c>
      <c r="D70">
        <v>4</v>
      </c>
      <c r="E70">
        <v>7</v>
      </c>
      <c r="F70">
        <v>1</v>
      </c>
      <c r="J70">
        <v>42</v>
      </c>
      <c r="K70">
        <v>3.1170807927380042</v>
      </c>
      <c r="L70">
        <v>0.3829192072619958</v>
      </c>
    </row>
    <row r="71" spans="1:12" x14ac:dyDescent="0.55000000000000004">
      <c r="A71">
        <v>2.2999999999999998</v>
      </c>
      <c r="B71">
        <v>4</v>
      </c>
      <c r="C71">
        <v>4</v>
      </c>
      <c r="D71">
        <v>5</v>
      </c>
      <c r="E71">
        <v>4</v>
      </c>
      <c r="F71">
        <v>1</v>
      </c>
      <c r="J71">
        <v>43</v>
      </c>
      <c r="K71">
        <v>3.0090468976518334</v>
      </c>
      <c r="L71">
        <v>0.49095310234816658</v>
      </c>
    </row>
    <row r="72" spans="1:12" x14ac:dyDescent="0.55000000000000004">
      <c r="A72">
        <v>2</v>
      </c>
      <c r="B72">
        <v>4</v>
      </c>
      <c r="C72">
        <v>4</v>
      </c>
      <c r="D72">
        <v>5</v>
      </c>
      <c r="E72">
        <v>4</v>
      </c>
      <c r="F72">
        <v>1</v>
      </c>
      <c r="J72">
        <v>44</v>
      </c>
      <c r="K72">
        <v>3.0067644689221087</v>
      </c>
      <c r="L72">
        <v>-0.50676446892210869</v>
      </c>
    </row>
    <row r="73" spans="1:12" x14ac:dyDescent="0.55000000000000004">
      <c r="A73">
        <v>2</v>
      </c>
      <c r="B73">
        <v>2</v>
      </c>
      <c r="C73">
        <v>6</v>
      </c>
      <c r="D73">
        <v>2</v>
      </c>
      <c r="E73">
        <v>1</v>
      </c>
      <c r="F73">
        <v>1</v>
      </c>
      <c r="J73">
        <v>45</v>
      </c>
      <c r="K73">
        <v>3.0067644689221087</v>
      </c>
      <c r="L73">
        <v>0.49323553107789131</v>
      </c>
    </row>
    <row r="74" spans="1:12" x14ac:dyDescent="0.55000000000000004">
      <c r="A74">
        <v>2</v>
      </c>
      <c r="B74">
        <v>4</v>
      </c>
      <c r="C74">
        <v>7</v>
      </c>
      <c r="D74">
        <v>2</v>
      </c>
      <c r="E74">
        <v>1</v>
      </c>
      <c r="F74">
        <v>1</v>
      </c>
      <c r="J74">
        <v>46</v>
      </c>
      <c r="K74">
        <v>3.0067644689221087</v>
      </c>
      <c r="L74">
        <v>0.49323553107789131</v>
      </c>
    </row>
    <row r="75" spans="1:12" x14ac:dyDescent="0.55000000000000004">
      <c r="A75">
        <v>2.2999999999999998</v>
      </c>
      <c r="B75">
        <v>4</v>
      </c>
      <c r="C75">
        <v>2</v>
      </c>
      <c r="D75">
        <v>6</v>
      </c>
      <c r="E75">
        <v>3</v>
      </c>
      <c r="F75">
        <v>1</v>
      </c>
      <c r="J75">
        <v>47</v>
      </c>
      <c r="K75">
        <v>2.9867933941074538</v>
      </c>
      <c r="L75">
        <v>1.3206605892546186E-2</v>
      </c>
    </row>
    <row r="76" spans="1:12" x14ac:dyDescent="0.55000000000000004">
      <c r="A76">
        <v>2</v>
      </c>
      <c r="B76">
        <v>4</v>
      </c>
      <c r="C76">
        <v>4</v>
      </c>
      <c r="D76">
        <v>5</v>
      </c>
      <c r="E76">
        <v>4</v>
      </c>
      <c r="F76">
        <v>1</v>
      </c>
      <c r="J76">
        <v>48</v>
      </c>
      <c r="K76">
        <v>3.0067644689221087</v>
      </c>
      <c r="L76">
        <v>-0.50676446892210869</v>
      </c>
    </row>
    <row r="77" spans="1:12" x14ac:dyDescent="0.55000000000000004">
      <c r="A77">
        <v>2.2999999999999998</v>
      </c>
      <c r="B77">
        <v>7</v>
      </c>
      <c r="C77">
        <v>5</v>
      </c>
      <c r="D77">
        <v>3</v>
      </c>
      <c r="E77">
        <v>2</v>
      </c>
      <c r="F77">
        <v>1</v>
      </c>
      <c r="J77">
        <v>49</v>
      </c>
      <c r="K77">
        <v>3.0067644689221087</v>
      </c>
      <c r="L77">
        <v>-6.7644689221086907E-3</v>
      </c>
    </row>
    <row r="78" spans="1:12" x14ac:dyDescent="0.55000000000000004">
      <c r="A78">
        <v>2</v>
      </c>
      <c r="B78">
        <v>4</v>
      </c>
      <c r="C78">
        <v>4</v>
      </c>
      <c r="D78">
        <v>5</v>
      </c>
      <c r="E78">
        <v>4</v>
      </c>
      <c r="F78">
        <v>1</v>
      </c>
      <c r="J78">
        <v>50</v>
      </c>
      <c r="K78">
        <v>3.1099432312475672</v>
      </c>
      <c r="L78">
        <v>0.39005676875243278</v>
      </c>
    </row>
    <row r="79" spans="1:12" x14ac:dyDescent="0.55000000000000004">
      <c r="A79">
        <v>2.2999999999999998</v>
      </c>
      <c r="B79">
        <v>2</v>
      </c>
      <c r="C79">
        <v>3</v>
      </c>
      <c r="D79">
        <v>6</v>
      </c>
      <c r="E79">
        <v>4</v>
      </c>
      <c r="F79">
        <v>1</v>
      </c>
      <c r="J79">
        <v>51</v>
      </c>
      <c r="K79">
        <v>3.0067644689221087</v>
      </c>
      <c r="L79">
        <v>0.49323553107789131</v>
      </c>
    </row>
    <row r="80" spans="1:12" x14ac:dyDescent="0.55000000000000004">
      <c r="A80">
        <v>2</v>
      </c>
      <c r="B80">
        <v>2</v>
      </c>
      <c r="C80">
        <v>5</v>
      </c>
      <c r="D80">
        <v>3</v>
      </c>
      <c r="E80">
        <v>2</v>
      </c>
      <c r="F80">
        <v>1</v>
      </c>
      <c r="J80">
        <v>52</v>
      </c>
      <c r="K80">
        <v>3.0067644689221087</v>
      </c>
      <c r="L80">
        <v>-0.50676446892210869</v>
      </c>
    </row>
    <row r="81" spans="1:12" x14ac:dyDescent="0.55000000000000004">
      <c r="A81">
        <v>2</v>
      </c>
      <c r="B81">
        <v>4</v>
      </c>
      <c r="C81">
        <v>4</v>
      </c>
      <c r="D81">
        <v>5</v>
      </c>
      <c r="E81">
        <v>4</v>
      </c>
      <c r="F81">
        <v>1</v>
      </c>
      <c r="J81">
        <v>53</v>
      </c>
      <c r="K81">
        <v>3.0067644689221087</v>
      </c>
      <c r="L81">
        <v>-6.7644689221086907E-3</v>
      </c>
    </row>
    <row r="82" spans="1:12" x14ac:dyDescent="0.55000000000000004">
      <c r="A82">
        <v>2.2999999999999998</v>
      </c>
      <c r="B82">
        <v>4</v>
      </c>
      <c r="C82">
        <v>4</v>
      </c>
      <c r="D82">
        <v>5</v>
      </c>
      <c r="E82">
        <v>4</v>
      </c>
      <c r="F82">
        <v>1</v>
      </c>
      <c r="J82">
        <v>54</v>
      </c>
      <c r="K82">
        <v>3.0067644689221087</v>
      </c>
      <c r="L82">
        <v>-0.50676446892210869</v>
      </c>
    </row>
    <row r="83" spans="1:12" x14ac:dyDescent="0.55000000000000004">
      <c r="A83">
        <v>2.2999999999999998</v>
      </c>
      <c r="B83">
        <v>3</v>
      </c>
      <c r="C83">
        <v>1</v>
      </c>
      <c r="D83">
        <v>7</v>
      </c>
      <c r="E83">
        <v>5</v>
      </c>
      <c r="F83">
        <v>1</v>
      </c>
      <c r="J83">
        <v>55</v>
      </c>
      <c r="K83">
        <v>3.0067644689221087</v>
      </c>
      <c r="L83">
        <v>0.49323553107789131</v>
      </c>
    </row>
    <row r="84" spans="1:12" x14ac:dyDescent="0.55000000000000004">
      <c r="A84">
        <v>2</v>
      </c>
      <c r="B84">
        <v>4</v>
      </c>
      <c r="C84">
        <v>4</v>
      </c>
      <c r="D84">
        <v>5</v>
      </c>
      <c r="E84">
        <v>4</v>
      </c>
      <c r="F84">
        <v>1</v>
      </c>
      <c r="J84">
        <v>56</v>
      </c>
      <c r="K84">
        <v>3.0067644689221087</v>
      </c>
      <c r="L84">
        <v>-0.50676446892210869</v>
      </c>
    </row>
    <row r="85" spans="1:12" x14ac:dyDescent="0.55000000000000004">
      <c r="A85">
        <v>2.2999999999999998</v>
      </c>
      <c r="B85">
        <v>2</v>
      </c>
      <c r="C85">
        <v>3</v>
      </c>
      <c r="D85">
        <v>3</v>
      </c>
      <c r="E85">
        <v>7</v>
      </c>
      <c r="F85">
        <v>1</v>
      </c>
      <c r="J85">
        <v>57</v>
      </c>
      <c r="K85">
        <v>3.0155453096692004</v>
      </c>
      <c r="L85">
        <v>-1.5545309669200424E-2</v>
      </c>
    </row>
    <row r="86" spans="1:12" x14ac:dyDescent="0.55000000000000004">
      <c r="A86">
        <v>2.2999999999999998</v>
      </c>
      <c r="B86">
        <v>1</v>
      </c>
      <c r="C86">
        <v>5</v>
      </c>
      <c r="D86">
        <v>5</v>
      </c>
      <c r="E86">
        <v>7</v>
      </c>
      <c r="F86">
        <v>1</v>
      </c>
      <c r="J86">
        <v>58</v>
      </c>
      <c r="K86">
        <v>3.0067644689221087</v>
      </c>
      <c r="L86">
        <v>-6.7644689221086907E-3</v>
      </c>
    </row>
    <row r="87" spans="1:12" x14ac:dyDescent="0.55000000000000004">
      <c r="A87">
        <v>2.2999999999999998</v>
      </c>
      <c r="B87">
        <v>4</v>
      </c>
      <c r="C87">
        <v>4</v>
      </c>
      <c r="D87">
        <v>5</v>
      </c>
      <c r="E87">
        <v>4</v>
      </c>
      <c r="F87">
        <v>1</v>
      </c>
      <c r="J87">
        <v>59</v>
      </c>
      <c r="K87">
        <v>3.0067644689221087</v>
      </c>
      <c r="L87">
        <v>-6.7644689221086907E-3</v>
      </c>
    </row>
    <row r="88" spans="1:12" x14ac:dyDescent="0.55000000000000004">
      <c r="A88">
        <v>2.2999999999999998</v>
      </c>
      <c r="B88">
        <v>4</v>
      </c>
      <c r="C88">
        <v>4</v>
      </c>
      <c r="D88">
        <v>5</v>
      </c>
      <c r="E88">
        <v>4</v>
      </c>
      <c r="F88">
        <v>1</v>
      </c>
      <c r="J88">
        <v>60</v>
      </c>
      <c r="K88">
        <v>2.1343489279631518</v>
      </c>
      <c r="L88">
        <v>0.16565107203684803</v>
      </c>
    </row>
    <row r="89" spans="1:12" x14ac:dyDescent="0.55000000000000004">
      <c r="A89">
        <v>2.2999999999999998</v>
      </c>
      <c r="B89">
        <v>1</v>
      </c>
      <c r="C89">
        <v>6</v>
      </c>
      <c r="D89">
        <v>5</v>
      </c>
      <c r="E89">
        <v>5</v>
      </c>
      <c r="F89">
        <v>1</v>
      </c>
      <c r="J89">
        <v>61</v>
      </c>
      <c r="K89">
        <v>2.1343489279631518</v>
      </c>
      <c r="L89">
        <v>0.16565107203684803</v>
      </c>
    </row>
    <row r="90" spans="1:12" x14ac:dyDescent="0.55000000000000004">
      <c r="A90">
        <v>2</v>
      </c>
      <c r="B90">
        <v>4</v>
      </c>
      <c r="C90">
        <v>4</v>
      </c>
      <c r="D90">
        <v>5</v>
      </c>
      <c r="E90">
        <v>4</v>
      </c>
      <c r="F90">
        <v>1</v>
      </c>
      <c r="J90">
        <v>62</v>
      </c>
      <c r="K90">
        <v>2.1722975485317342</v>
      </c>
      <c r="L90">
        <v>0.12770245146826564</v>
      </c>
    </row>
    <row r="91" spans="1:12" x14ac:dyDescent="0.55000000000000004">
      <c r="A91">
        <v>2.2999999999999998</v>
      </c>
      <c r="B91">
        <v>4</v>
      </c>
      <c r="C91">
        <v>1</v>
      </c>
      <c r="D91">
        <v>6</v>
      </c>
      <c r="E91">
        <v>4</v>
      </c>
      <c r="F91">
        <v>1</v>
      </c>
      <c r="J91">
        <v>63</v>
      </c>
      <c r="K91">
        <v>2.0948629229331797</v>
      </c>
      <c r="L91">
        <v>-9.4862922933179661E-2</v>
      </c>
    </row>
    <row r="92" spans="1:12" x14ac:dyDescent="0.55000000000000004">
      <c r="A92">
        <v>2.2999999999999998</v>
      </c>
      <c r="B92">
        <v>2</v>
      </c>
      <c r="C92">
        <v>5</v>
      </c>
      <c r="D92">
        <v>3</v>
      </c>
      <c r="E92">
        <v>2</v>
      </c>
      <c r="F92">
        <v>1</v>
      </c>
      <c r="J92">
        <v>64</v>
      </c>
      <c r="K92">
        <v>2.1343489279631518</v>
      </c>
      <c r="L92">
        <v>-0.13434892796315179</v>
      </c>
    </row>
    <row r="93" spans="1:12" x14ac:dyDescent="0.55000000000000004">
      <c r="A93">
        <v>2.2999999999999998</v>
      </c>
      <c r="B93">
        <v>2</v>
      </c>
      <c r="C93">
        <v>5</v>
      </c>
      <c r="D93">
        <v>3</v>
      </c>
      <c r="E93">
        <v>2</v>
      </c>
      <c r="F93">
        <v>1</v>
      </c>
      <c r="J93">
        <v>65</v>
      </c>
      <c r="K93">
        <v>2.1343489279631518</v>
      </c>
      <c r="L93">
        <v>0.16565107203684803</v>
      </c>
    </row>
    <row r="94" spans="1:12" x14ac:dyDescent="0.55000000000000004">
      <c r="A94">
        <v>2</v>
      </c>
      <c r="B94">
        <v>4</v>
      </c>
      <c r="C94">
        <v>4</v>
      </c>
      <c r="D94">
        <v>5</v>
      </c>
      <c r="E94">
        <v>4</v>
      </c>
      <c r="F94">
        <v>1</v>
      </c>
      <c r="J94">
        <v>66</v>
      </c>
      <c r="K94">
        <v>2.2375276902886099</v>
      </c>
      <c r="L94">
        <v>6.2472309711389951E-2</v>
      </c>
    </row>
    <row r="95" spans="1:12" x14ac:dyDescent="0.55000000000000004">
      <c r="A95">
        <v>2.2999999999999998</v>
      </c>
      <c r="B95">
        <v>4</v>
      </c>
      <c r="C95">
        <v>2</v>
      </c>
      <c r="D95">
        <v>7</v>
      </c>
      <c r="E95">
        <v>4</v>
      </c>
      <c r="F95">
        <v>1</v>
      </c>
      <c r="J95">
        <v>67</v>
      </c>
      <c r="K95">
        <v>2.1343489279631518</v>
      </c>
      <c r="L95">
        <v>-0.13434892796315179</v>
      </c>
    </row>
    <row r="96" spans="1:12" x14ac:dyDescent="0.55000000000000004">
      <c r="A96">
        <v>2.2999999999999998</v>
      </c>
      <c r="B96">
        <v>4</v>
      </c>
      <c r="C96">
        <v>4</v>
      </c>
      <c r="D96">
        <v>5</v>
      </c>
      <c r="E96">
        <v>4</v>
      </c>
      <c r="F96">
        <v>1</v>
      </c>
      <c r="J96">
        <v>68</v>
      </c>
      <c r="K96">
        <v>2.1511852593522161</v>
      </c>
      <c r="L96">
        <v>0.14881474064778377</v>
      </c>
    </row>
    <row r="97" spans="1:12" x14ac:dyDescent="0.55000000000000004">
      <c r="A97">
        <v>2.2999999999999998</v>
      </c>
      <c r="B97">
        <v>4</v>
      </c>
      <c r="C97">
        <v>4</v>
      </c>
      <c r="D97">
        <v>5</v>
      </c>
      <c r="E97">
        <v>4</v>
      </c>
      <c r="F97">
        <v>1</v>
      </c>
      <c r="J97">
        <v>69</v>
      </c>
      <c r="K97">
        <v>2.1957381867334291</v>
      </c>
      <c r="L97">
        <v>-0.19573818673342913</v>
      </c>
    </row>
    <row r="98" spans="1:12" x14ac:dyDescent="0.55000000000000004">
      <c r="A98">
        <v>2</v>
      </c>
      <c r="B98">
        <v>4</v>
      </c>
      <c r="C98">
        <v>4</v>
      </c>
      <c r="D98">
        <v>5</v>
      </c>
      <c r="E98">
        <v>4</v>
      </c>
      <c r="F98">
        <v>1</v>
      </c>
      <c r="J98">
        <v>70</v>
      </c>
      <c r="K98">
        <v>2.1343489279631518</v>
      </c>
      <c r="L98">
        <v>0.16565107203684803</v>
      </c>
    </row>
    <row r="99" spans="1:12" x14ac:dyDescent="0.55000000000000004">
      <c r="A99">
        <v>2</v>
      </c>
      <c r="B99">
        <v>4</v>
      </c>
      <c r="C99">
        <v>3</v>
      </c>
      <c r="D99">
        <v>7</v>
      </c>
      <c r="E99">
        <v>3</v>
      </c>
      <c r="F99">
        <v>1</v>
      </c>
      <c r="J99">
        <v>71</v>
      </c>
      <c r="K99">
        <v>2.1343489279631518</v>
      </c>
      <c r="L99">
        <v>-0.13434892796315179</v>
      </c>
    </row>
    <row r="100" spans="1:12" x14ac:dyDescent="0.55000000000000004">
      <c r="A100">
        <v>2</v>
      </c>
      <c r="B100">
        <v>4</v>
      </c>
      <c r="C100">
        <v>4</v>
      </c>
      <c r="D100">
        <v>5</v>
      </c>
      <c r="E100">
        <v>4</v>
      </c>
      <c r="F100">
        <v>1</v>
      </c>
      <c r="J100">
        <v>72</v>
      </c>
      <c r="K100">
        <v>2.1401086350012291</v>
      </c>
      <c r="L100">
        <v>-0.14010863500122905</v>
      </c>
    </row>
    <row r="101" spans="1:12" x14ac:dyDescent="0.55000000000000004">
      <c r="A101">
        <v>2.2999999999999998</v>
      </c>
      <c r="B101">
        <v>3</v>
      </c>
      <c r="C101">
        <v>4</v>
      </c>
      <c r="D101">
        <v>3</v>
      </c>
      <c r="E101">
        <v>6</v>
      </c>
      <c r="F101">
        <v>1</v>
      </c>
      <c r="J101">
        <v>73</v>
      </c>
      <c r="K101">
        <v>2.0637093289722728</v>
      </c>
      <c r="L101">
        <v>-6.3709328972272772E-2</v>
      </c>
    </row>
    <row r="102" spans="1:12" x14ac:dyDescent="0.55000000000000004">
      <c r="A102">
        <v>2.2999999999999998</v>
      </c>
      <c r="B102">
        <v>7</v>
      </c>
      <c r="C102">
        <v>5</v>
      </c>
      <c r="D102">
        <v>2</v>
      </c>
      <c r="E102">
        <v>2</v>
      </c>
      <c r="F102">
        <v>1</v>
      </c>
      <c r="J102">
        <v>74</v>
      </c>
      <c r="K102">
        <v>2.1936675475942331</v>
      </c>
      <c r="L102">
        <v>0.10633245240576672</v>
      </c>
    </row>
    <row r="103" spans="1:12" x14ac:dyDescent="0.55000000000000004">
      <c r="A103">
        <v>2</v>
      </c>
      <c r="B103">
        <v>7</v>
      </c>
      <c r="C103">
        <v>5</v>
      </c>
      <c r="D103">
        <v>3</v>
      </c>
      <c r="E103">
        <v>1</v>
      </c>
      <c r="F103">
        <v>1</v>
      </c>
      <c r="J103">
        <v>75</v>
      </c>
      <c r="K103">
        <v>2.1343489279631518</v>
      </c>
      <c r="L103">
        <v>-0.13434892796315179</v>
      </c>
    </row>
    <row r="104" spans="1:12" x14ac:dyDescent="0.55000000000000004">
      <c r="A104">
        <v>2</v>
      </c>
      <c r="B104">
        <v>4</v>
      </c>
      <c r="C104">
        <v>4</v>
      </c>
      <c r="D104">
        <v>5</v>
      </c>
      <c r="E104">
        <v>4</v>
      </c>
      <c r="F104">
        <v>1</v>
      </c>
      <c r="J104">
        <v>76</v>
      </c>
      <c r="K104">
        <v>2.1030568737886988</v>
      </c>
      <c r="L104">
        <v>0.19694312621130106</v>
      </c>
    </row>
    <row r="105" spans="1:12" x14ac:dyDescent="0.55000000000000004">
      <c r="A105">
        <v>2</v>
      </c>
      <c r="B105">
        <v>2</v>
      </c>
      <c r="C105">
        <v>5</v>
      </c>
      <c r="D105">
        <v>5</v>
      </c>
      <c r="E105">
        <v>5</v>
      </c>
      <c r="F105">
        <v>1</v>
      </c>
      <c r="J105">
        <v>77</v>
      </c>
      <c r="K105">
        <v>2.1343489279631518</v>
      </c>
      <c r="L105">
        <v>-0.13434892796315179</v>
      </c>
    </row>
    <row r="106" spans="1:12" x14ac:dyDescent="0.55000000000000004">
      <c r="A106">
        <v>2</v>
      </c>
      <c r="B106">
        <v>3</v>
      </c>
      <c r="C106">
        <v>4</v>
      </c>
      <c r="D106">
        <v>4</v>
      </c>
      <c r="E106">
        <v>7</v>
      </c>
      <c r="F106">
        <v>1</v>
      </c>
      <c r="J106">
        <v>78</v>
      </c>
      <c r="K106">
        <v>2.173940827788388</v>
      </c>
      <c r="L106">
        <v>0.12605917221161178</v>
      </c>
    </row>
    <row r="107" spans="1:12" x14ac:dyDescent="0.55000000000000004">
      <c r="A107">
        <v>2.2999999999999998</v>
      </c>
      <c r="B107">
        <v>4</v>
      </c>
      <c r="C107">
        <v>4</v>
      </c>
      <c r="D107">
        <v>5</v>
      </c>
      <c r="E107">
        <v>4</v>
      </c>
      <c r="F107">
        <v>1</v>
      </c>
      <c r="J107">
        <v>79</v>
      </c>
      <c r="K107">
        <v>2.1636551679981886</v>
      </c>
      <c r="L107">
        <v>-0.16365516799818858</v>
      </c>
    </row>
    <row r="108" spans="1:12" x14ac:dyDescent="0.55000000000000004">
      <c r="A108">
        <v>2</v>
      </c>
      <c r="B108">
        <v>2</v>
      </c>
      <c r="C108">
        <v>2</v>
      </c>
      <c r="D108">
        <v>5</v>
      </c>
      <c r="E108">
        <v>5</v>
      </c>
      <c r="F108">
        <v>1</v>
      </c>
      <c r="J108">
        <v>80</v>
      </c>
      <c r="K108">
        <v>2.1343489279631518</v>
      </c>
      <c r="L108">
        <v>-0.13434892796315179</v>
      </c>
    </row>
    <row r="109" spans="1:12" x14ac:dyDescent="0.55000000000000004">
      <c r="A109">
        <v>2.2999999999999998</v>
      </c>
      <c r="B109">
        <v>7</v>
      </c>
      <c r="C109">
        <v>4</v>
      </c>
      <c r="D109">
        <v>4</v>
      </c>
      <c r="E109">
        <v>6</v>
      </c>
      <c r="F109">
        <v>1</v>
      </c>
      <c r="J109">
        <v>81</v>
      </c>
      <c r="K109">
        <v>2.1343489279631518</v>
      </c>
      <c r="L109">
        <v>0.16565107203684803</v>
      </c>
    </row>
    <row r="110" spans="1:12" x14ac:dyDescent="0.55000000000000004">
      <c r="A110">
        <v>2</v>
      </c>
      <c r="B110">
        <v>2</v>
      </c>
      <c r="C110">
        <v>3</v>
      </c>
      <c r="D110">
        <v>6</v>
      </c>
      <c r="E110">
        <v>4</v>
      </c>
      <c r="F110">
        <v>1</v>
      </c>
      <c r="J110">
        <v>82</v>
      </c>
      <c r="K110">
        <v>2.2375276902886099</v>
      </c>
      <c r="L110">
        <v>6.2472309711389951E-2</v>
      </c>
    </row>
    <row r="111" spans="1:12" x14ac:dyDescent="0.55000000000000004">
      <c r="A111">
        <v>2</v>
      </c>
      <c r="B111">
        <v>4</v>
      </c>
      <c r="C111">
        <v>4</v>
      </c>
      <c r="D111">
        <v>5</v>
      </c>
      <c r="E111">
        <v>4</v>
      </c>
      <c r="F111">
        <v>1</v>
      </c>
      <c r="J111">
        <v>83</v>
      </c>
      <c r="K111">
        <v>2.1343489279631518</v>
      </c>
      <c r="L111">
        <v>-0.13434892796315179</v>
      </c>
    </row>
    <row r="112" spans="1:12" x14ac:dyDescent="0.55000000000000004">
      <c r="A112">
        <v>2.2999999999999998</v>
      </c>
      <c r="B112">
        <v>3</v>
      </c>
      <c r="C112">
        <v>1</v>
      </c>
      <c r="D112">
        <v>5</v>
      </c>
      <c r="E112">
        <v>3</v>
      </c>
      <c r="F112">
        <v>1</v>
      </c>
      <c r="J112">
        <v>84</v>
      </c>
      <c r="K112">
        <v>2.3089448989661054</v>
      </c>
      <c r="L112">
        <v>-8.9448989661056189E-3</v>
      </c>
    </row>
    <row r="113" spans="1:12" x14ac:dyDescent="0.55000000000000004">
      <c r="A113">
        <v>2</v>
      </c>
      <c r="B113">
        <v>4</v>
      </c>
      <c r="C113">
        <v>4</v>
      </c>
      <c r="D113">
        <v>5</v>
      </c>
      <c r="E113">
        <v>4</v>
      </c>
      <c r="F113">
        <v>1</v>
      </c>
      <c r="J113">
        <v>85</v>
      </c>
      <c r="K113">
        <v>2.1431297687102431</v>
      </c>
      <c r="L113">
        <v>0.15687023128975675</v>
      </c>
    </row>
    <row r="114" spans="1:12" x14ac:dyDescent="0.55000000000000004">
      <c r="A114">
        <v>2.2999999999999998</v>
      </c>
      <c r="B114">
        <v>4</v>
      </c>
      <c r="C114">
        <v>4</v>
      </c>
      <c r="D114">
        <v>5</v>
      </c>
      <c r="E114">
        <v>4</v>
      </c>
      <c r="F114">
        <v>1</v>
      </c>
      <c r="J114">
        <v>86</v>
      </c>
      <c r="K114">
        <v>2.1343489279631518</v>
      </c>
      <c r="L114">
        <v>0.16565107203684803</v>
      </c>
    </row>
    <row r="115" spans="1:12" x14ac:dyDescent="0.55000000000000004">
      <c r="A115">
        <v>2</v>
      </c>
      <c r="B115">
        <v>4</v>
      </c>
      <c r="C115">
        <v>3</v>
      </c>
      <c r="D115">
        <v>4</v>
      </c>
      <c r="E115">
        <v>6</v>
      </c>
      <c r="F115">
        <v>1</v>
      </c>
      <c r="J115">
        <v>87</v>
      </c>
      <c r="K115">
        <v>2.1343489279631518</v>
      </c>
      <c r="L115">
        <v>0.16565107203684803</v>
      </c>
    </row>
    <row r="116" spans="1:12" x14ac:dyDescent="0.55000000000000004">
      <c r="A116">
        <v>2</v>
      </c>
      <c r="B116">
        <v>4</v>
      </c>
      <c r="C116">
        <v>4</v>
      </c>
      <c r="D116">
        <v>5</v>
      </c>
      <c r="E116">
        <v>4</v>
      </c>
      <c r="F116">
        <v>1</v>
      </c>
      <c r="J116">
        <v>88</v>
      </c>
      <c r="K116">
        <v>2.0745818786540449</v>
      </c>
      <c r="L116">
        <v>0.22541812134595496</v>
      </c>
    </row>
    <row r="117" spans="1:12" x14ac:dyDescent="0.55000000000000004">
      <c r="A117">
        <v>2.2999999999999998</v>
      </c>
      <c r="B117">
        <v>4</v>
      </c>
      <c r="C117">
        <v>4</v>
      </c>
      <c r="D117">
        <v>5</v>
      </c>
      <c r="E117">
        <v>4</v>
      </c>
      <c r="F117">
        <v>1</v>
      </c>
      <c r="J117">
        <v>89</v>
      </c>
      <c r="K117">
        <v>2.1343489279631518</v>
      </c>
      <c r="L117">
        <v>-0.13434892796315179</v>
      </c>
    </row>
    <row r="118" spans="1:12" x14ac:dyDescent="0.55000000000000004">
      <c r="A118">
        <v>2.2999999999999998</v>
      </c>
      <c r="B118">
        <v>4</v>
      </c>
      <c r="C118">
        <v>4</v>
      </c>
      <c r="D118">
        <v>5</v>
      </c>
      <c r="E118">
        <v>4</v>
      </c>
      <c r="F118">
        <v>1</v>
      </c>
      <c r="J118">
        <v>90</v>
      </c>
      <c r="K118">
        <v>2.2540214867949122</v>
      </c>
      <c r="L118">
        <v>4.5978513205087612E-2</v>
      </c>
    </row>
    <row r="119" spans="1:12" x14ac:dyDescent="0.55000000000000004">
      <c r="A119">
        <v>2</v>
      </c>
      <c r="B119">
        <v>6</v>
      </c>
      <c r="C119">
        <v>5</v>
      </c>
      <c r="D119">
        <v>2</v>
      </c>
      <c r="E119">
        <v>1</v>
      </c>
      <c r="F119">
        <v>1</v>
      </c>
      <c r="J119">
        <v>91</v>
      </c>
      <c r="K119">
        <v>2.1636551679981886</v>
      </c>
      <c r="L119">
        <v>0.13634483200181124</v>
      </c>
    </row>
    <row r="120" spans="1:12" x14ac:dyDescent="0.55000000000000004">
      <c r="A120">
        <v>2</v>
      </c>
      <c r="B120">
        <v>4</v>
      </c>
      <c r="C120">
        <v>2</v>
      </c>
      <c r="D120">
        <v>7</v>
      </c>
      <c r="E120">
        <v>4</v>
      </c>
      <c r="F120">
        <v>1</v>
      </c>
      <c r="J120">
        <v>92</v>
      </c>
      <c r="K120">
        <v>2.1636551679981886</v>
      </c>
      <c r="L120">
        <v>0.13634483200181124</v>
      </c>
    </row>
    <row r="121" spans="1:12" x14ac:dyDescent="0.55000000000000004">
      <c r="B121">
        <v>3.9075630252100799</v>
      </c>
      <c r="C121">
        <v>3.8991596638655501</v>
      </c>
      <c r="D121">
        <v>4.8655462184873901</v>
      </c>
      <c r="E121">
        <v>3.9915966386554622</v>
      </c>
      <c r="J121">
        <v>93</v>
      </c>
      <c r="K121">
        <v>2.1343489279631518</v>
      </c>
      <c r="L121">
        <v>-0.13434892796315179</v>
      </c>
    </row>
    <row r="122" spans="1:12" x14ac:dyDescent="0.55000000000000004">
      <c r="J122">
        <v>94</v>
      </c>
      <c r="K122">
        <v>2.1650540922460326</v>
      </c>
      <c r="L122">
        <v>0.1349459077539672</v>
      </c>
    </row>
    <row r="123" spans="1:12" x14ac:dyDescent="0.55000000000000004">
      <c r="J123">
        <v>95</v>
      </c>
      <c r="K123">
        <v>2.1343489279631518</v>
      </c>
      <c r="L123">
        <v>0.16565107203684803</v>
      </c>
    </row>
    <row r="124" spans="1:12" x14ac:dyDescent="0.55000000000000004">
      <c r="J124">
        <v>96</v>
      </c>
      <c r="K124">
        <v>2.1343489279631518</v>
      </c>
      <c r="L124">
        <v>0.16565107203684803</v>
      </c>
    </row>
    <row r="125" spans="1:12" x14ac:dyDescent="0.55000000000000004">
      <c r="J125">
        <v>97</v>
      </c>
      <c r="K125">
        <v>2.1343489279631518</v>
      </c>
      <c r="L125">
        <v>-0.13434892796315179</v>
      </c>
    </row>
    <row r="126" spans="1:12" x14ac:dyDescent="0.55000000000000004">
      <c r="J126">
        <v>98</v>
      </c>
      <c r="K126">
        <v>2.1047001530453535</v>
      </c>
      <c r="L126">
        <v>-0.10470015304535352</v>
      </c>
    </row>
    <row r="127" spans="1:12" x14ac:dyDescent="0.55000000000000004">
      <c r="J127">
        <v>99</v>
      </c>
      <c r="K127">
        <v>2.1343489279631518</v>
      </c>
      <c r="L127">
        <v>-0.13434892796315179</v>
      </c>
    </row>
    <row r="128" spans="1:12" x14ac:dyDescent="0.55000000000000004">
      <c r="J128">
        <v>100</v>
      </c>
      <c r="K128">
        <v>2.2364713009235277</v>
      </c>
      <c r="L128">
        <v>6.3528699076472073E-2</v>
      </c>
    </row>
    <row r="129" spans="10:12" x14ac:dyDescent="0.55000000000000004">
      <c r="J129">
        <v>101</v>
      </c>
      <c r="K129">
        <v>2.1398642799924188</v>
      </c>
      <c r="L129">
        <v>0.16013572000758103</v>
      </c>
    </row>
    <row r="130" spans="10:12" x14ac:dyDescent="0.55000000000000004">
      <c r="J130">
        <v>102</v>
      </c>
      <c r="K130">
        <v>2.0948629229331797</v>
      </c>
      <c r="L130">
        <v>-9.4862922933179661E-2</v>
      </c>
    </row>
    <row r="131" spans="10:12" x14ac:dyDescent="0.55000000000000004">
      <c r="J131">
        <v>103</v>
      </c>
      <c r="K131">
        <v>2.1343489279631518</v>
      </c>
      <c r="L131">
        <v>-0.13434892796315179</v>
      </c>
    </row>
    <row r="132" spans="10:12" x14ac:dyDescent="0.55000000000000004">
      <c r="J132">
        <v>104</v>
      </c>
      <c r="K132">
        <v>2.1146222081573072</v>
      </c>
      <c r="L132">
        <v>-0.11462220815730717</v>
      </c>
    </row>
    <row r="133" spans="10:12" x14ac:dyDescent="0.55000000000000004">
      <c r="J133">
        <v>105</v>
      </c>
      <c r="K133">
        <v>2.2078578455753273</v>
      </c>
      <c r="L133">
        <v>-0.20785784557532727</v>
      </c>
    </row>
    <row r="134" spans="10:12" x14ac:dyDescent="0.55000000000000004">
      <c r="J134">
        <v>106</v>
      </c>
      <c r="K134">
        <v>2.1343489279631518</v>
      </c>
      <c r="L134">
        <v>0.16565107203684803</v>
      </c>
    </row>
    <row r="135" spans="10:12" x14ac:dyDescent="0.55000000000000004">
      <c r="J135">
        <v>107</v>
      </c>
      <c r="K135">
        <v>2.2711021731927872</v>
      </c>
      <c r="L135">
        <v>-0.27110217319278718</v>
      </c>
    </row>
    <row r="136" spans="10:12" x14ac:dyDescent="0.55000000000000004">
      <c r="J136">
        <v>108</v>
      </c>
      <c r="K136">
        <v>2.1511852593522161</v>
      </c>
      <c r="L136">
        <v>0.14881474064778377</v>
      </c>
    </row>
    <row r="137" spans="10:12" x14ac:dyDescent="0.55000000000000004">
      <c r="J137">
        <v>109</v>
      </c>
      <c r="K137">
        <v>2.173940827788388</v>
      </c>
      <c r="L137">
        <v>-0.17394082778838804</v>
      </c>
    </row>
    <row r="138" spans="10:12" x14ac:dyDescent="0.55000000000000004">
      <c r="J138">
        <v>110</v>
      </c>
      <c r="K138">
        <v>2.1343489279631518</v>
      </c>
      <c r="L138">
        <v>-0.13434892796315179</v>
      </c>
    </row>
    <row r="139" spans="10:12" x14ac:dyDescent="0.55000000000000004">
      <c r="J139">
        <v>111</v>
      </c>
      <c r="K139">
        <v>2.2947546009850108</v>
      </c>
      <c r="L139">
        <v>5.245399014988994E-3</v>
      </c>
    </row>
    <row r="140" spans="10:12" x14ac:dyDescent="0.55000000000000004">
      <c r="J140">
        <v>112</v>
      </c>
      <c r="K140">
        <v>2.1343489279631518</v>
      </c>
      <c r="L140">
        <v>-0.13434892796315179</v>
      </c>
    </row>
    <row r="141" spans="10:12" x14ac:dyDescent="0.55000000000000004">
      <c r="J141">
        <v>113</v>
      </c>
      <c r="K141">
        <v>2.1343489279631518</v>
      </c>
      <c r="L141">
        <v>0.16565107203684803</v>
      </c>
    </row>
    <row r="142" spans="10:12" x14ac:dyDescent="0.55000000000000004">
      <c r="J142">
        <v>114</v>
      </c>
      <c r="K142">
        <v>2.23970422422307</v>
      </c>
      <c r="L142">
        <v>-0.23970422422307003</v>
      </c>
    </row>
    <row r="143" spans="10:12" x14ac:dyDescent="0.55000000000000004">
      <c r="J143">
        <v>115</v>
      </c>
      <c r="K143">
        <v>2.1343489279631518</v>
      </c>
      <c r="L143">
        <v>-0.13434892796315179</v>
      </c>
    </row>
    <row r="144" spans="10:12" x14ac:dyDescent="0.55000000000000004">
      <c r="J144">
        <v>116</v>
      </c>
      <c r="K144">
        <v>2.1343489279631518</v>
      </c>
      <c r="L144">
        <v>0.16565107203684803</v>
      </c>
    </row>
    <row r="145" spans="10:12" x14ac:dyDescent="0.55000000000000004">
      <c r="J145">
        <v>117</v>
      </c>
      <c r="K145">
        <v>2.1343489279631518</v>
      </c>
      <c r="L145">
        <v>0.16565107203684803</v>
      </c>
    </row>
    <row r="146" spans="10:12" x14ac:dyDescent="0.55000000000000004">
      <c r="J146">
        <v>118</v>
      </c>
      <c r="K146">
        <v>2.1437899879787974</v>
      </c>
      <c r="L146">
        <v>-0.14378998797879738</v>
      </c>
    </row>
    <row r="147" spans="10:12" ht="14.7" thickBot="1" x14ac:dyDescent="0.6">
      <c r="J147" s="45">
        <v>119</v>
      </c>
      <c r="K147" s="45">
        <v>2.1650540922460326</v>
      </c>
      <c r="L147" s="45">
        <v>-0.16505409224603262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403E-2CAE-46BA-87A1-4712E3660055}">
  <sheetPr>
    <tabColor rgb="FF00B0F0"/>
  </sheetPr>
  <dimension ref="A1:G13"/>
  <sheetViews>
    <sheetView zoomScale="71" workbookViewId="0">
      <selection activeCell="H16" sqref="H16"/>
    </sheetView>
  </sheetViews>
  <sheetFormatPr defaultRowHeight="14.4" x14ac:dyDescent="0.55000000000000004"/>
  <cols>
    <col min="1" max="1" width="13.89453125" bestFit="1" customWidth="1"/>
    <col min="2" max="2" width="12.41796875" bestFit="1" customWidth="1"/>
    <col min="3" max="3" width="14.89453125" customWidth="1"/>
    <col min="4" max="4" width="17.20703125" customWidth="1"/>
  </cols>
  <sheetData>
    <row r="1" spans="1:7" x14ac:dyDescent="0.55000000000000004">
      <c r="A1" s="41" t="s">
        <v>58</v>
      </c>
      <c r="B1" t="s">
        <v>52</v>
      </c>
    </row>
    <row r="3" spans="1:7" x14ac:dyDescent="0.55000000000000004">
      <c r="A3" s="41" t="s">
        <v>26</v>
      </c>
      <c r="B3" t="s">
        <v>306</v>
      </c>
      <c r="C3" t="s">
        <v>307</v>
      </c>
      <c r="D3" t="s">
        <v>308</v>
      </c>
      <c r="E3" t="s">
        <v>309</v>
      </c>
      <c r="F3" t="s">
        <v>311</v>
      </c>
    </row>
    <row r="4" spans="1:7" x14ac:dyDescent="0.55000000000000004">
      <c r="A4" s="42">
        <v>2.5</v>
      </c>
      <c r="B4">
        <v>145</v>
      </c>
      <c r="F4">
        <f>(A4-1.5)*GETPIVOTDATA("Soap Units Purchased",$A$3,"Sales Price",2.5)</f>
        <v>145</v>
      </c>
    </row>
    <row r="5" spans="1:7" x14ac:dyDescent="0.55000000000000004">
      <c r="A5" s="42">
        <v>3</v>
      </c>
      <c r="B5">
        <v>115</v>
      </c>
      <c r="C5">
        <f>(A5-A4)/((A4+A5)/2)</f>
        <v>0.18181818181818182</v>
      </c>
      <c r="D5">
        <f>(GETPIVOTDATA("Soap Units Purchased",$A$3,"Sales Price",3)-GETPIVOTDATA("Soap Units Purchased",$A$3,"Sales Price",2.5))/((GETPIVOTDATA("Soap Units Purchased",$A$3,"Sales Price",2.5)+GETPIVOTDATA("Soap Units Purchased",$A$3,"Sales Price",3)/2))</f>
        <v>-0.14814814814814814</v>
      </c>
      <c r="E5">
        <f>D5/C5</f>
        <v>-0.81481481481481477</v>
      </c>
      <c r="F5">
        <f t="shared" ref="F5:F6" si="0">(A5-1.5)*GETPIVOTDATA("Soap Units Purchased",$A$3,"Sales Price",2.5)</f>
        <v>217.5</v>
      </c>
    </row>
    <row r="6" spans="1:7" x14ac:dyDescent="0.55000000000000004">
      <c r="A6" s="42">
        <v>3.5</v>
      </c>
      <c r="B6">
        <v>28</v>
      </c>
      <c r="C6">
        <f>(A6-A5)/((A5+A6)/2)</f>
        <v>0.15384615384615385</v>
      </c>
      <c r="D6">
        <f>(GETPIVOTDATA("Soap Units Purchased",$A$3,"Sales Price",3)-GETPIVOTDATA("Soap Units Purchased",$A$3,"Sales Price",2.5))/((GETPIVOTDATA("Soap Units Purchased",$A$3,"Sales Price",2.5)+GETPIVOTDATA("Soap Units Purchased",$A$3,"Sales Price",3)/2))</f>
        <v>-0.14814814814814814</v>
      </c>
      <c r="E6">
        <f>D6/C6</f>
        <v>-0.96296296296296291</v>
      </c>
      <c r="F6" s="48">
        <f t="shared" si="0"/>
        <v>290</v>
      </c>
      <c r="G6" t="s">
        <v>312</v>
      </c>
    </row>
    <row r="7" spans="1:7" x14ac:dyDescent="0.55000000000000004">
      <c r="A7" s="42" t="s">
        <v>262</v>
      </c>
      <c r="B7">
        <v>288</v>
      </c>
    </row>
    <row r="8" spans="1:7" x14ac:dyDescent="0.55000000000000004">
      <c r="D8" t="s">
        <v>310</v>
      </c>
      <c r="E8">
        <f>AVERAGE(E5:E6)</f>
        <v>-0.88888888888888884</v>
      </c>
    </row>
    <row r="10" spans="1:7" x14ac:dyDescent="0.55000000000000004">
      <c r="A10" t="s">
        <v>25</v>
      </c>
    </row>
    <row r="11" spans="1:7" x14ac:dyDescent="0.55000000000000004">
      <c r="A11" t="s">
        <v>26</v>
      </c>
      <c r="B11" t="s">
        <v>306</v>
      </c>
      <c r="C11" t="s">
        <v>307</v>
      </c>
      <c r="D11" t="s">
        <v>308</v>
      </c>
      <c r="E11" t="s">
        <v>309</v>
      </c>
      <c r="F11" t="s">
        <v>311</v>
      </c>
    </row>
    <row r="12" spans="1:7" x14ac:dyDescent="0.55000000000000004">
      <c r="A12">
        <v>2</v>
      </c>
      <c r="B12">
        <v>157</v>
      </c>
      <c r="F12">
        <f>(A12-1.5)*GETPIVOTDATA("Soap Units Purchased",$A$3,"Sales Price",2.5)</f>
        <v>72.5</v>
      </c>
    </row>
    <row r="13" spans="1:7" x14ac:dyDescent="0.55000000000000004">
      <c r="A13">
        <v>2.2999999999999998</v>
      </c>
      <c r="B13">
        <v>116</v>
      </c>
      <c r="C13">
        <f>(A13-A12)/((A12+A13)/2)</f>
        <v>0.13953488372093015</v>
      </c>
      <c r="D13">
        <f>(GETPIVOTDATA("Soap Units Purchased",$A$3,"Sales Price",3)-GETPIVOTDATA("Soap Units Purchased",$A$3,"Sales Price",2.5))/((GETPIVOTDATA("Soap Units Purchased",$A$3,"Sales Price",2.5)+GETPIVOTDATA("Soap Units Purchased",$A$3,"Sales Price",3)/2))</f>
        <v>-0.14814814814814814</v>
      </c>
      <c r="E13">
        <f>D13/C13</f>
        <v>-1.0617283950617289</v>
      </c>
      <c r="F13" s="48">
        <f t="shared" ref="F13" si="1">(A13-1.5)*GETPIVOTDATA("Soap Units Purchased",$A$3,"Sales Price",2.5)</f>
        <v>115.99999999999997</v>
      </c>
      <c r="G13" t="s">
        <v>312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9AD5-591A-4D8F-B39C-B9AD6F238BDA}">
  <sheetPr>
    <tabColor rgb="FF00B0F0"/>
  </sheetPr>
  <dimension ref="A1:U120"/>
  <sheetViews>
    <sheetView topLeftCell="D1" zoomScale="74" workbookViewId="0">
      <selection activeCell="N23" sqref="N23"/>
    </sheetView>
  </sheetViews>
  <sheetFormatPr defaultRowHeight="14.4" x14ac:dyDescent="0.55000000000000004"/>
  <cols>
    <col min="1" max="1" width="13.5234375" customWidth="1"/>
    <col min="3" max="3" width="13.20703125" bestFit="1" customWidth="1"/>
    <col min="4" max="4" width="18.68359375" customWidth="1"/>
    <col min="6" max="6" width="11.7890625" customWidth="1"/>
    <col min="7" max="7" width="15.89453125" customWidth="1"/>
    <col min="11" max="11" width="14.41796875" customWidth="1"/>
    <col min="12" max="12" width="13.1015625" customWidth="1"/>
    <col min="13" max="13" width="15.7890625" customWidth="1"/>
    <col min="14" max="14" width="36" customWidth="1"/>
    <col min="15" max="15" width="14.89453125" customWidth="1"/>
    <col min="16" max="16" width="24.68359375" customWidth="1"/>
    <col min="17" max="17" width="13" customWidth="1"/>
    <col min="18" max="18" width="15.41796875" customWidth="1"/>
    <col min="19" max="19" width="12.5234375" customWidth="1"/>
    <col min="20" max="20" width="10.3125" customWidth="1"/>
    <col min="21" max="21" width="8" customWidth="1"/>
    <col min="22" max="22" width="10.7890625" bestFit="1" customWidth="1"/>
  </cols>
  <sheetData>
    <row r="1" spans="1:18" x14ac:dyDescent="0.55000000000000004">
      <c r="A1" t="s">
        <v>274</v>
      </c>
      <c r="B1" t="s">
        <v>275</v>
      </c>
      <c r="C1" t="s">
        <v>58</v>
      </c>
      <c r="D1" t="s">
        <v>57</v>
      </c>
      <c r="E1" t="s">
        <v>24</v>
      </c>
      <c r="F1" t="s">
        <v>224</v>
      </c>
      <c r="G1" t="s">
        <v>76</v>
      </c>
      <c r="H1" t="s">
        <v>27</v>
      </c>
      <c r="I1" t="s">
        <v>56</v>
      </c>
      <c r="J1" t="s">
        <v>31</v>
      </c>
      <c r="K1" t="s">
        <v>28</v>
      </c>
      <c r="L1" t="s">
        <v>29</v>
      </c>
      <c r="M1" t="s">
        <v>277</v>
      </c>
      <c r="O1" s="41" t="s">
        <v>58</v>
      </c>
      <c r="P1" t="s">
        <v>52</v>
      </c>
    </row>
    <row r="2" spans="1:18" x14ac:dyDescent="0.55000000000000004">
      <c r="A2">
        <v>2212</v>
      </c>
      <c r="B2">
        <v>157</v>
      </c>
      <c r="C2" t="s">
        <v>52</v>
      </c>
      <c r="D2">
        <v>1</v>
      </c>
      <c r="E2">
        <v>1.5</v>
      </c>
      <c r="F2">
        <v>3.5</v>
      </c>
      <c r="G2">
        <v>1</v>
      </c>
      <c r="H2">
        <v>4</v>
      </c>
      <c r="J2">
        <v>4</v>
      </c>
      <c r="K2">
        <v>5</v>
      </c>
      <c r="L2">
        <v>4</v>
      </c>
      <c r="M2">
        <f>IF(C2="Soap A",1,IF(C2="Soap B",2,""))</f>
        <v>2</v>
      </c>
    </row>
    <row r="3" spans="1:18" x14ac:dyDescent="0.55000000000000004">
      <c r="A3">
        <v>2215</v>
      </c>
      <c r="B3">
        <v>296</v>
      </c>
      <c r="C3" t="s">
        <v>52</v>
      </c>
      <c r="D3">
        <v>6</v>
      </c>
      <c r="E3">
        <v>1.5</v>
      </c>
      <c r="F3">
        <v>3</v>
      </c>
      <c r="G3">
        <v>3</v>
      </c>
      <c r="H3">
        <v>4</v>
      </c>
      <c r="J3">
        <v>4</v>
      </c>
      <c r="K3">
        <v>5</v>
      </c>
      <c r="L3">
        <v>4</v>
      </c>
      <c r="M3">
        <f t="shared" ref="M3:M66" si="0">IF(C3="Soap A",1,IF(C3="Soap B",2,""))</f>
        <v>2</v>
      </c>
      <c r="O3" s="41" t="s">
        <v>224</v>
      </c>
      <c r="P3" t="s">
        <v>305</v>
      </c>
    </row>
    <row r="4" spans="1:18" x14ac:dyDescent="0.55000000000000004">
      <c r="A4">
        <v>2216</v>
      </c>
      <c r="B4">
        <v>44</v>
      </c>
      <c r="C4" t="s">
        <v>52</v>
      </c>
      <c r="D4">
        <v>6</v>
      </c>
      <c r="E4">
        <v>1.5</v>
      </c>
      <c r="F4">
        <v>3</v>
      </c>
      <c r="G4">
        <v>3</v>
      </c>
      <c r="H4">
        <v>4</v>
      </c>
      <c r="I4" t="s">
        <v>88</v>
      </c>
      <c r="J4">
        <v>2</v>
      </c>
      <c r="K4">
        <v>7</v>
      </c>
      <c r="L4">
        <v>4</v>
      </c>
      <c r="M4">
        <f t="shared" si="0"/>
        <v>2</v>
      </c>
      <c r="O4" s="42">
        <v>2.5</v>
      </c>
      <c r="P4">
        <v>145</v>
      </c>
    </row>
    <row r="5" spans="1:18" x14ac:dyDescent="0.55000000000000004">
      <c r="A5">
        <v>2217</v>
      </c>
      <c r="B5">
        <v>194</v>
      </c>
      <c r="C5" t="s">
        <v>52</v>
      </c>
      <c r="D5">
        <v>6</v>
      </c>
      <c r="E5">
        <v>1.5</v>
      </c>
      <c r="F5">
        <v>2.5</v>
      </c>
      <c r="G5">
        <v>3</v>
      </c>
      <c r="H5">
        <v>4</v>
      </c>
      <c r="J5">
        <v>4</v>
      </c>
      <c r="K5">
        <v>5</v>
      </c>
      <c r="L5">
        <v>4</v>
      </c>
      <c r="M5">
        <f t="shared" si="0"/>
        <v>2</v>
      </c>
      <c r="O5" s="42">
        <v>3</v>
      </c>
      <c r="P5">
        <v>115</v>
      </c>
    </row>
    <row r="6" spans="1:18" x14ac:dyDescent="0.55000000000000004">
      <c r="A6">
        <v>2219</v>
      </c>
      <c r="B6">
        <v>73</v>
      </c>
      <c r="C6" t="s">
        <v>52</v>
      </c>
      <c r="D6">
        <v>1</v>
      </c>
      <c r="E6">
        <v>1.5</v>
      </c>
      <c r="F6">
        <v>3.5</v>
      </c>
      <c r="G6">
        <v>1</v>
      </c>
      <c r="H6">
        <v>1</v>
      </c>
      <c r="I6" t="s">
        <v>53</v>
      </c>
      <c r="J6">
        <v>4</v>
      </c>
      <c r="K6">
        <v>7</v>
      </c>
      <c r="L6">
        <v>3</v>
      </c>
      <c r="M6">
        <f t="shared" si="0"/>
        <v>2</v>
      </c>
      <c r="O6" s="42">
        <v>3.5</v>
      </c>
      <c r="P6">
        <v>28</v>
      </c>
    </row>
    <row r="7" spans="1:18" x14ac:dyDescent="0.55000000000000004">
      <c r="A7">
        <v>2224</v>
      </c>
      <c r="B7">
        <v>209</v>
      </c>
      <c r="C7" t="s">
        <v>52</v>
      </c>
      <c r="D7">
        <v>8</v>
      </c>
      <c r="E7">
        <v>1.5</v>
      </c>
      <c r="F7">
        <v>2.5</v>
      </c>
      <c r="G7">
        <v>4</v>
      </c>
      <c r="H7">
        <v>4</v>
      </c>
      <c r="J7">
        <v>4</v>
      </c>
      <c r="K7">
        <v>5</v>
      </c>
      <c r="L7">
        <v>4</v>
      </c>
      <c r="M7">
        <f t="shared" si="0"/>
        <v>2</v>
      </c>
      <c r="O7" s="42" t="s">
        <v>262</v>
      </c>
      <c r="P7">
        <v>288</v>
      </c>
    </row>
    <row r="8" spans="1:18" x14ac:dyDescent="0.55000000000000004">
      <c r="A8">
        <v>2227</v>
      </c>
      <c r="B8">
        <v>138</v>
      </c>
      <c r="C8" t="s">
        <v>52</v>
      </c>
      <c r="D8">
        <v>9</v>
      </c>
      <c r="E8">
        <v>1.5</v>
      </c>
      <c r="F8">
        <v>2.5</v>
      </c>
      <c r="G8">
        <v>5</v>
      </c>
      <c r="H8">
        <v>4</v>
      </c>
      <c r="J8">
        <v>4</v>
      </c>
      <c r="K8">
        <v>5</v>
      </c>
      <c r="L8">
        <v>4</v>
      </c>
      <c r="M8">
        <f t="shared" si="0"/>
        <v>2</v>
      </c>
    </row>
    <row r="9" spans="1:18" x14ac:dyDescent="0.55000000000000004">
      <c r="A9">
        <v>2228</v>
      </c>
      <c r="B9">
        <v>237</v>
      </c>
      <c r="C9" t="s">
        <v>52</v>
      </c>
      <c r="D9">
        <v>7</v>
      </c>
      <c r="E9">
        <v>1.5</v>
      </c>
      <c r="F9">
        <v>2.5</v>
      </c>
      <c r="G9">
        <v>4</v>
      </c>
      <c r="H9">
        <v>4</v>
      </c>
      <c r="J9">
        <v>4</v>
      </c>
      <c r="K9">
        <v>5</v>
      </c>
      <c r="L9">
        <v>4</v>
      </c>
      <c r="M9">
        <f t="shared" si="0"/>
        <v>2</v>
      </c>
      <c r="O9" t="s">
        <v>313</v>
      </c>
    </row>
    <row r="10" spans="1:18" x14ac:dyDescent="0.55000000000000004">
      <c r="A10">
        <v>2229</v>
      </c>
      <c r="B10">
        <v>260</v>
      </c>
      <c r="C10" t="s">
        <v>52</v>
      </c>
      <c r="D10">
        <v>6</v>
      </c>
      <c r="E10">
        <v>1.5</v>
      </c>
      <c r="F10">
        <v>3</v>
      </c>
      <c r="G10">
        <v>3</v>
      </c>
      <c r="H10">
        <v>4</v>
      </c>
      <c r="J10">
        <v>4</v>
      </c>
      <c r="K10">
        <v>5</v>
      </c>
      <c r="L10">
        <v>4</v>
      </c>
      <c r="M10">
        <f t="shared" si="0"/>
        <v>2</v>
      </c>
      <c r="O10">
        <v>214</v>
      </c>
      <c r="Q10" s="48" t="s">
        <v>314</v>
      </c>
      <c r="R10" s="49">
        <f>GETPIVOTDATA("Lotion Purchased",$O$12,"Soap Purchased","Soap B")/GETPIVOTDATA("Lotion Purchased",$O$9)</f>
        <v>0.74766355140186913</v>
      </c>
    </row>
    <row r="11" spans="1:18" x14ac:dyDescent="0.55000000000000004">
      <c r="A11">
        <v>2230</v>
      </c>
      <c r="B11">
        <v>51</v>
      </c>
      <c r="C11" t="s">
        <v>52</v>
      </c>
      <c r="D11">
        <v>6</v>
      </c>
      <c r="E11">
        <v>1.5</v>
      </c>
      <c r="F11">
        <v>2.5</v>
      </c>
      <c r="G11">
        <v>3</v>
      </c>
      <c r="H11">
        <v>2</v>
      </c>
      <c r="I11" t="s">
        <v>86</v>
      </c>
      <c r="J11">
        <v>7</v>
      </c>
      <c r="K11">
        <v>3</v>
      </c>
      <c r="L11">
        <v>3</v>
      </c>
      <c r="M11">
        <f t="shared" si="0"/>
        <v>2</v>
      </c>
    </row>
    <row r="12" spans="1:18" x14ac:dyDescent="0.55000000000000004">
      <c r="A12">
        <v>2231</v>
      </c>
      <c r="B12">
        <v>82</v>
      </c>
      <c r="C12" t="s">
        <v>52</v>
      </c>
      <c r="D12">
        <v>6</v>
      </c>
      <c r="E12">
        <v>1.5</v>
      </c>
      <c r="F12">
        <v>3</v>
      </c>
      <c r="G12">
        <v>3</v>
      </c>
      <c r="H12">
        <v>3</v>
      </c>
      <c r="I12" t="s">
        <v>53</v>
      </c>
      <c r="J12">
        <v>1</v>
      </c>
      <c r="K12">
        <v>7</v>
      </c>
      <c r="L12">
        <v>5</v>
      </c>
      <c r="M12">
        <f t="shared" si="0"/>
        <v>2</v>
      </c>
      <c r="O12" s="41" t="s">
        <v>261</v>
      </c>
      <c r="P12" t="s">
        <v>313</v>
      </c>
    </row>
    <row r="13" spans="1:18" x14ac:dyDescent="0.55000000000000004">
      <c r="A13">
        <v>2232</v>
      </c>
      <c r="B13">
        <v>230</v>
      </c>
      <c r="C13" t="s">
        <v>52</v>
      </c>
      <c r="D13">
        <v>4</v>
      </c>
      <c r="E13">
        <v>1.5</v>
      </c>
      <c r="F13">
        <v>3</v>
      </c>
      <c r="G13">
        <v>2</v>
      </c>
      <c r="H13">
        <v>4</v>
      </c>
      <c r="J13">
        <v>4</v>
      </c>
      <c r="K13">
        <v>5</v>
      </c>
      <c r="L13">
        <v>4</v>
      </c>
      <c r="M13">
        <f t="shared" si="0"/>
        <v>2</v>
      </c>
      <c r="O13" s="42" t="s">
        <v>52</v>
      </c>
      <c r="P13">
        <v>160</v>
      </c>
    </row>
    <row r="14" spans="1:18" x14ac:dyDescent="0.55000000000000004">
      <c r="A14">
        <v>2233</v>
      </c>
      <c r="B14">
        <v>2</v>
      </c>
      <c r="C14" t="s">
        <v>52</v>
      </c>
      <c r="D14">
        <v>5</v>
      </c>
      <c r="E14">
        <v>1.5</v>
      </c>
      <c r="F14">
        <v>3</v>
      </c>
      <c r="G14">
        <v>3</v>
      </c>
      <c r="H14">
        <v>3</v>
      </c>
      <c r="I14" t="s">
        <v>86</v>
      </c>
      <c r="J14">
        <v>2</v>
      </c>
      <c r="K14">
        <v>7</v>
      </c>
      <c r="L14">
        <v>5</v>
      </c>
      <c r="M14">
        <f t="shared" si="0"/>
        <v>2</v>
      </c>
      <c r="O14" s="42" t="s">
        <v>262</v>
      </c>
      <c r="P14">
        <v>160</v>
      </c>
    </row>
    <row r="15" spans="1:18" x14ac:dyDescent="0.55000000000000004">
      <c r="A15">
        <v>2234</v>
      </c>
      <c r="B15">
        <v>78</v>
      </c>
      <c r="C15" t="s">
        <v>52</v>
      </c>
      <c r="D15">
        <v>2</v>
      </c>
      <c r="E15">
        <v>1.5</v>
      </c>
      <c r="F15">
        <v>3.5</v>
      </c>
      <c r="G15">
        <v>1</v>
      </c>
      <c r="H15">
        <v>4</v>
      </c>
      <c r="I15" t="s">
        <v>53</v>
      </c>
      <c r="J15">
        <v>4</v>
      </c>
      <c r="K15">
        <v>5</v>
      </c>
      <c r="L15">
        <v>6</v>
      </c>
      <c r="M15">
        <f t="shared" si="0"/>
        <v>2</v>
      </c>
    </row>
    <row r="16" spans="1:18" x14ac:dyDescent="0.55000000000000004">
      <c r="A16">
        <v>2236</v>
      </c>
      <c r="B16">
        <v>133</v>
      </c>
      <c r="C16" t="s">
        <v>52</v>
      </c>
      <c r="D16">
        <v>1</v>
      </c>
      <c r="E16">
        <v>1.5</v>
      </c>
      <c r="F16">
        <v>3.5</v>
      </c>
      <c r="G16">
        <v>1</v>
      </c>
      <c r="H16">
        <v>4</v>
      </c>
      <c r="J16">
        <v>4</v>
      </c>
      <c r="K16">
        <v>5</v>
      </c>
      <c r="L16">
        <v>4</v>
      </c>
      <c r="M16">
        <f t="shared" si="0"/>
        <v>2</v>
      </c>
    </row>
    <row r="17" spans="1:21" x14ac:dyDescent="0.55000000000000004">
      <c r="A17">
        <v>2239</v>
      </c>
      <c r="B17">
        <v>248</v>
      </c>
      <c r="C17" t="s">
        <v>52</v>
      </c>
      <c r="D17">
        <v>2</v>
      </c>
      <c r="E17">
        <v>1.5</v>
      </c>
      <c r="F17">
        <v>3.5</v>
      </c>
      <c r="G17">
        <v>1</v>
      </c>
      <c r="H17">
        <v>4</v>
      </c>
      <c r="J17">
        <v>4</v>
      </c>
      <c r="K17">
        <v>5</v>
      </c>
      <c r="L17">
        <v>4</v>
      </c>
      <c r="M17">
        <f t="shared" si="0"/>
        <v>2</v>
      </c>
      <c r="O17" t="s">
        <v>224</v>
      </c>
      <c r="P17" t="s">
        <v>305</v>
      </c>
      <c r="Q17" t="s">
        <v>315</v>
      </c>
      <c r="R17" t="s">
        <v>316</v>
      </c>
      <c r="S17" t="s">
        <v>317</v>
      </c>
      <c r="T17" t="s">
        <v>318</v>
      </c>
    </row>
    <row r="18" spans="1:21" x14ac:dyDescent="0.55000000000000004">
      <c r="A18">
        <v>2240</v>
      </c>
      <c r="B18">
        <v>276</v>
      </c>
      <c r="C18" t="s">
        <v>52</v>
      </c>
      <c r="D18">
        <v>6</v>
      </c>
      <c r="E18">
        <v>1.5</v>
      </c>
      <c r="F18">
        <v>3</v>
      </c>
      <c r="G18">
        <v>3</v>
      </c>
      <c r="H18">
        <v>4</v>
      </c>
      <c r="J18">
        <v>4</v>
      </c>
      <c r="K18">
        <v>5</v>
      </c>
      <c r="L18">
        <v>4</v>
      </c>
      <c r="M18">
        <f t="shared" si="0"/>
        <v>2</v>
      </c>
      <c r="N18" s="13" t="s">
        <v>319</v>
      </c>
      <c r="O18" s="48">
        <v>2.5</v>
      </c>
      <c r="P18" s="48">
        <v>145</v>
      </c>
      <c r="Q18" s="50">
        <f>P18*$R$10</f>
        <v>108.41121495327103</v>
      </c>
      <c r="R18" s="48">
        <f>(O18-1.5)*P18</f>
        <v>145</v>
      </c>
      <c r="S18" s="48">
        <f>(3.25-0.75)*Q18</f>
        <v>271.02803738317755</v>
      </c>
      <c r="T18" s="48">
        <f>SUM(R18:S18)</f>
        <v>416.02803738317755</v>
      </c>
    </row>
    <row r="19" spans="1:21" x14ac:dyDescent="0.55000000000000004">
      <c r="A19">
        <v>2242</v>
      </c>
      <c r="B19">
        <v>148</v>
      </c>
      <c r="C19" t="s">
        <v>52</v>
      </c>
      <c r="D19">
        <v>6</v>
      </c>
      <c r="E19">
        <v>1.5</v>
      </c>
      <c r="F19">
        <v>3</v>
      </c>
      <c r="G19">
        <v>3</v>
      </c>
      <c r="H19">
        <v>4</v>
      </c>
      <c r="J19">
        <v>4</v>
      </c>
      <c r="K19">
        <v>5</v>
      </c>
      <c r="L19">
        <v>4</v>
      </c>
      <c r="M19">
        <f t="shared" si="0"/>
        <v>2</v>
      </c>
      <c r="O19">
        <v>3</v>
      </c>
      <c r="P19">
        <v>115</v>
      </c>
      <c r="Q19" s="14">
        <f t="shared" ref="Q19:Q20" si="1">P19*$R$10</f>
        <v>85.981308411214954</v>
      </c>
      <c r="R19">
        <f t="shared" ref="R19:R20" si="2">(O19-1.5)*P19</f>
        <v>172.5</v>
      </c>
      <c r="S19">
        <f t="shared" ref="S19:S20" si="3">(3.25-0.75)*Q19</f>
        <v>214.95327102803739</v>
      </c>
      <c r="T19">
        <f t="shared" ref="T19:T20" si="4">SUM(R19:S19)</f>
        <v>387.45327102803742</v>
      </c>
    </row>
    <row r="20" spans="1:21" x14ac:dyDescent="0.55000000000000004">
      <c r="A20">
        <v>2243</v>
      </c>
      <c r="B20">
        <v>152</v>
      </c>
      <c r="C20" t="s">
        <v>52</v>
      </c>
      <c r="D20">
        <v>7</v>
      </c>
      <c r="E20">
        <v>1.5</v>
      </c>
      <c r="F20">
        <v>3</v>
      </c>
      <c r="G20">
        <v>4</v>
      </c>
      <c r="H20">
        <v>4</v>
      </c>
      <c r="J20">
        <v>4</v>
      </c>
      <c r="K20">
        <v>5</v>
      </c>
      <c r="L20">
        <v>4</v>
      </c>
      <c r="M20">
        <f t="shared" si="0"/>
        <v>2</v>
      </c>
      <c r="O20">
        <v>3.5</v>
      </c>
      <c r="P20">
        <v>28</v>
      </c>
      <c r="Q20" s="14">
        <f t="shared" si="1"/>
        <v>20.934579439252335</v>
      </c>
      <c r="R20">
        <f t="shared" si="2"/>
        <v>56</v>
      </c>
      <c r="S20">
        <f t="shared" si="3"/>
        <v>52.336448598130836</v>
      </c>
      <c r="T20">
        <f t="shared" si="4"/>
        <v>108.33644859813083</v>
      </c>
    </row>
    <row r="21" spans="1:21" x14ac:dyDescent="0.55000000000000004">
      <c r="A21">
        <v>2246</v>
      </c>
      <c r="B21">
        <v>128</v>
      </c>
      <c r="C21" t="s">
        <v>52</v>
      </c>
      <c r="D21">
        <v>7</v>
      </c>
      <c r="E21">
        <v>1.5</v>
      </c>
      <c r="F21">
        <v>2.5</v>
      </c>
      <c r="G21">
        <v>4</v>
      </c>
      <c r="H21">
        <v>4</v>
      </c>
      <c r="J21">
        <v>4</v>
      </c>
      <c r="K21">
        <v>5</v>
      </c>
      <c r="L21">
        <v>4</v>
      </c>
      <c r="M21">
        <f t="shared" si="0"/>
        <v>2</v>
      </c>
    </row>
    <row r="22" spans="1:21" x14ac:dyDescent="0.55000000000000004">
      <c r="A22">
        <v>2247</v>
      </c>
      <c r="B22">
        <v>137</v>
      </c>
      <c r="C22" t="s">
        <v>52</v>
      </c>
      <c r="D22">
        <v>9</v>
      </c>
      <c r="E22">
        <v>1.5</v>
      </c>
      <c r="F22">
        <v>2.5</v>
      </c>
      <c r="G22">
        <v>5</v>
      </c>
      <c r="H22">
        <v>4</v>
      </c>
      <c r="J22">
        <v>4</v>
      </c>
      <c r="K22">
        <v>5</v>
      </c>
      <c r="L22">
        <v>4</v>
      </c>
      <c r="M22">
        <f t="shared" si="0"/>
        <v>2</v>
      </c>
    </row>
    <row r="23" spans="1:21" x14ac:dyDescent="0.55000000000000004">
      <c r="A23">
        <v>2248</v>
      </c>
      <c r="B23">
        <v>139</v>
      </c>
      <c r="C23" t="s">
        <v>52</v>
      </c>
      <c r="D23">
        <v>2</v>
      </c>
      <c r="E23">
        <v>1.5</v>
      </c>
      <c r="F23">
        <v>3.5</v>
      </c>
      <c r="G23">
        <v>1</v>
      </c>
      <c r="H23">
        <v>4</v>
      </c>
      <c r="J23">
        <v>4</v>
      </c>
      <c r="K23">
        <v>5</v>
      </c>
      <c r="L23">
        <v>4</v>
      </c>
      <c r="M23">
        <f t="shared" si="0"/>
        <v>2</v>
      </c>
      <c r="O23" t="s">
        <v>224</v>
      </c>
      <c r="P23" t="s">
        <v>305</v>
      </c>
      <c r="Q23" t="s">
        <v>320</v>
      </c>
      <c r="R23" t="s">
        <v>321</v>
      </c>
      <c r="S23" t="s">
        <v>316</v>
      </c>
      <c r="T23" t="s">
        <v>317</v>
      </c>
      <c r="U23" t="s">
        <v>318</v>
      </c>
    </row>
    <row r="24" spans="1:21" x14ac:dyDescent="0.55000000000000004">
      <c r="A24">
        <v>2250</v>
      </c>
      <c r="B24">
        <v>238</v>
      </c>
      <c r="C24" t="s">
        <v>52</v>
      </c>
      <c r="D24">
        <v>4</v>
      </c>
      <c r="E24">
        <v>1.5</v>
      </c>
      <c r="F24">
        <v>3</v>
      </c>
      <c r="G24">
        <v>2</v>
      </c>
      <c r="H24">
        <v>4</v>
      </c>
      <c r="J24">
        <v>4</v>
      </c>
      <c r="K24">
        <v>5</v>
      </c>
      <c r="L24">
        <v>4</v>
      </c>
      <c r="M24">
        <f t="shared" si="0"/>
        <v>2</v>
      </c>
      <c r="O24">
        <v>2.5</v>
      </c>
      <c r="P24">
        <v>145</v>
      </c>
      <c r="Q24">
        <v>108.41121495327103</v>
      </c>
      <c r="R24">
        <f>Q24*(1+2.31*(O24-3)/3)</f>
        <v>66.672897196261687</v>
      </c>
      <c r="S24">
        <f>(O24-1.5)*P24</f>
        <v>145</v>
      </c>
      <c r="T24">
        <f>(3.25-0.75)*R24</f>
        <v>166.68224299065423</v>
      </c>
      <c r="U24">
        <f>SUM(S24:T24)</f>
        <v>311.68224299065423</v>
      </c>
    </row>
    <row r="25" spans="1:21" x14ac:dyDescent="0.55000000000000004">
      <c r="A25">
        <v>2251</v>
      </c>
      <c r="B25">
        <v>249</v>
      </c>
      <c r="C25" t="s">
        <v>52</v>
      </c>
      <c r="D25">
        <v>1</v>
      </c>
      <c r="E25">
        <v>1.5</v>
      </c>
      <c r="F25">
        <v>3.5</v>
      </c>
      <c r="G25">
        <v>1</v>
      </c>
      <c r="H25">
        <v>4</v>
      </c>
      <c r="J25">
        <v>4</v>
      </c>
      <c r="K25">
        <v>5</v>
      </c>
      <c r="L25">
        <v>4</v>
      </c>
      <c r="M25">
        <f t="shared" si="0"/>
        <v>2</v>
      </c>
      <c r="N25" s="13" t="s">
        <v>322</v>
      </c>
      <c r="O25" s="48">
        <v>3</v>
      </c>
      <c r="P25" s="48">
        <v>115</v>
      </c>
      <c r="Q25" s="48">
        <v>85.981308411214954</v>
      </c>
      <c r="R25" s="48">
        <f t="shared" ref="R25:R26" si="5">Q25*(1+2.31*(O25-3)/3)</f>
        <v>85.981308411214954</v>
      </c>
      <c r="S25" s="48">
        <f t="shared" ref="S25:S26" si="6">(O25-1.5)*P25</f>
        <v>172.5</v>
      </c>
      <c r="T25" s="48">
        <f t="shared" ref="T25:T26" si="7">(3.25-0.75)*R25</f>
        <v>214.95327102803739</v>
      </c>
      <c r="U25" s="48">
        <f t="shared" ref="U25:U26" si="8">SUM(S25:T25)</f>
        <v>387.45327102803742</v>
      </c>
    </row>
    <row r="26" spans="1:21" x14ac:dyDescent="0.55000000000000004">
      <c r="A26">
        <v>2252</v>
      </c>
      <c r="B26">
        <v>276</v>
      </c>
      <c r="C26" t="s">
        <v>52</v>
      </c>
      <c r="D26">
        <v>2</v>
      </c>
      <c r="E26">
        <v>1.5</v>
      </c>
      <c r="F26">
        <v>3.5</v>
      </c>
      <c r="G26">
        <v>1</v>
      </c>
      <c r="H26">
        <v>4</v>
      </c>
      <c r="J26">
        <v>4</v>
      </c>
      <c r="K26">
        <v>5</v>
      </c>
      <c r="L26">
        <v>4</v>
      </c>
      <c r="M26">
        <f t="shared" si="0"/>
        <v>2</v>
      </c>
      <c r="O26">
        <v>3.5</v>
      </c>
      <c r="P26">
        <v>28</v>
      </c>
      <c r="Q26">
        <v>20.934579439252335</v>
      </c>
      <c r="R26">
        <f t="shared" si="5"/>
        <v>28.994392523364485</v>
      </c>
      <c r="S26">
        <f t="shared" si="6"/>
        <v>56</v>
      </c>
      <c r="T26">
        <f t="shared" si="7"/>
        <v>72.485981308411212</v>
      </c>
      <c r="U26">
        <f t="shared" si="8"/>
        <v>128.48598130841123</v>
      </c>
    </row>
    <row r="27" spans="1:21" x14ac:dyDescent="0.55000000000000004">
      <c r="A27">
        <v>2253</v>
      </c>
      <c r="B27">
        <v>154</v>
      </c>
      <c r="C27" t="s">
        <v>52</v>
      </c>
      <c r="D27">
        <v>7</v>
      </c>
      <c r="E27">
        <v>1.5</v>
      </c>
      <c r="F27">
        <v>3</v>
      </c>
      <c r="G27">
        <v>4</v>
      </c>
      <c r="H27">
        <v>4</v>
      </c>
      <c r="J27">
        <v>4</v>
      </c>
      <c r="K27">
        <v>5</v>
      </c>
      <c r="L27">
        <v>4</v>
      </c>
      <c r="M27">
        <f t="shared" si="0"/>
        <v>2</v>
      </c>
    </row>
    <row r="28" spans="1:21" x14ac:dyDescent="0.55000000000000004">
      <c r="A28">
        <v>2254</v>
      </c>
      <c r="B28">
        <v>178</v>
      </c>
      <c r="C28" t="s">
        <v>52</v>
      </c>
      <c r="D28">
        <v>8</v>
      </c>
      <c r="E28">
        <v>1.5</v>
      </c>
      <c r="F28">
        <v>2.5</v>
      </c>
      <c r="G28">
        <v>4</v>
      </c>
      <c r="H28">
        <v>4</v>
      </c>
      <c r="J28">
        <v>4</v>
      </c>
      <c r="K28">
        <v>5</v>
      </c>
      <c r="L28">
        <v>4</v>
      </c>
      <c r="M28">
        <f t="shared" si="0"/>
        <v>2</v>
      </c>
      <c r="O28" t="s">
        <v>224</v>
      </c>
      <c r="P28" t="s">
        <v>305</v>
      </c>
      <c r="Q28" t="s">
        <v>320</v>
      </c>
      <c r="R28" t="s">
        <v>321</v>
      </c>
      <c r="S28" t="s">
        <v>316</v>
      </c>
      <c r="T28" t="s">
        <v>317</v>
      </c>
      <c r="U28" t="s">
        <v>318</v>
      </c>
    </row>
    <row r="29" spans="1:21" x14ac:dyDescent="0.55000000000000004">
      <c r="A29">
        <v>2255</v>
      </c>
      <c r="B29">
        <v>53</v>
      </c>
      <c r="C29" t="s">
        <v>52</v>
      </c>
      <c r="D29">
        <v>1</v>
      </c>
      <c r="E29">
        <v>1.5</v>
      </c>
      <c r="F29">
        <v>3.5</v>
      </c>
      <c r="G29">
        <v>1</v>
      </c>
      <c r="H29">
        <v>3</v>
      </c>
      <c r="I29" t="s">
        <v>86</v>
      </c>
      <c r="J29">
        <v>4</v>
      </c>
      <c r="K29">
        <v>6</v>
      </c>
      <c r="L29">
        <v>3</v>
      </c>
      <c r="M29">
        <f t="shared" si="0"/>
        <v>2</v>
      </c>
      <c r="O29">
        <v>2.5</v>
      </c>
      <c r="P29">
        <v>145</v>
      </c>
      <c r="Q29">
        <v>108.41121495327103</v>
      </c>
      <c r="R29">
        <f>Q29*(1+0.74*(O29-3)/3)</f>
        <v>95.040498442367607</v>
      </c>
      <c r="S29">
        <f>(O29-1.5)*P29</f>
        <v>145</v>
      </c>
      <c r="T29">
        <f>(3.25-0.75)*R29</f>
        <v>237.60124610591902</v>
      </c>
      <c r="U29">
        <f>SUM(S29:T29)</f>
        <v>382.60124610591902</v>
      </c>
    </row>
    <row r="30" spans="1:21" x14ac:dyDescent="0.55000000000000004">
      <c r="A30">
        <v>2256</v>
      </c>
      <c r="B30">
        <v>89</v>
      </c>
      <c r="C30" t="s">
        <v>52</v>
      </c>
      <c r="D30">
        <v>7</v>
      </c>
      <c r="E30">
        <v>1.5</v>
      </c>
      <c r="F30">
        <v>2.5</v>
      </c>
      <c r="G30">
        <v>4</v>
      </c>
      <c r="H30">
        <v>4</v>
      </c>
      <c r="I30" t="s">
        <v>53</v>
      </c>
      <c r="J30">
        <v>3</v>
      </c>
      <c r="K30">
        <v>7</v>
      </c>
      <c r="L30">
        <v>4</v>
      </c>
      <c r="M30">
        <f t="shared" si="0"/>
        <v>2</v>
      </c>
      <c r="N30" s="13" t="s">
        <v>323</v>
      </c>
      <c r="O30" s="48">
        <v>3</v>
      </c>
      <c r="P30" s="48">
        <v>115</v>
      </c>
      <c r="Q30" s="48">
        <v>85.981308411214954</v>
      </c>
      <c r="R30" s="48">
        <f t="shared" ref="R30:R31" si="9">Q30*(1+0.74*(O30-3)/3)</f>
        <v>85.981308411214954</v>
      </c>
      <c r="S30" s="48">
        <f t="shared" ref="S30:S31" si="10">(O30-1.5)*P30</f>
        <v>172.5</v>
      </c>
      <c r="T30" s="48">
        <f t="shared" ref="T30:T31" si="11">(3.25-0.75)*R30</f>
        <v>214.95327102803739</v>
      </c>
      <c r="U30" s="48">
        <f t="shared" ref="U30:U31" si="12">SUM(S30:T30)</f>
        <v>387.45327102803742</v>
      </c>
    </row>
    <row r="31" spans="1:21" x14ac:dyDescent="0.55000000000000004">
      <c r="A31">
        <v>2259</v>
      </c>
      <c r="B31">
        <v>227</v>
      </c>
      <c r="C31" t="s">
        <v>52</v>
      </c>
      <c r="D31">
        <v>9</v>
      </c>
      <c r="E31">
        <v>1.5</v>
      </c>
      <c r="F31">
        <v>2.5</v>
      </c>
      <c r="G31">
        <v>5</v>
      </c>
      <c r="H31">
        <v>4</v>
      </c>
      <c r="J31">
        <v>4</v>
      </c>
      <c r="K31">
        <v>5</v>
      </c>
      <c r="L31">
        <v>4</v>
      </c>
      <c r="M31">
        <f t="shared" si="0"/>
        <v>2</v>
      </c>
      <c r="O31">
        <v>3.5</v>
      </c>
      <c r="P31">
        <v>28</v>
      </c>
      <c r="Q31">
        <v>20.934579439252335</v>
      </c>
      <c r="R31">
        <f t="shared" si="9"/>
        <v>23.516510903426788</v>
      </c>
      <c r="S31">
        <f t="shared" si="10"/>
        <v>56</v>
      </c>
      <c r="T31">
        <f t="shared" si="11"/>
        <v>58.791277258566971</v>
      </c>
      <c r="U31">
        <f t="shared" si="12"/>
        <v>114.79127725856696</v>
      </c>
    </row>
    <row r="32" spans="1:21" x14ac:dyDescent="0.55000000000000004">
      <c r="A32">
        <v>2260</v>
      </c>
      <c r="B32">
        <v>231</v>
      </c>
      <c r="C32" t="s">
        <v>52</v>
      </c>
      <c r="D32">
        <v>1</v>
      </c>
      <c r="E32">
        <v>1.5</v>
      </c>
      <c r="F32">
        <v>3.5</v>
      </c>
      <c r="G32">
        <v>1</v>
      </c>
      <c r="H32">
        <v>4</v>
      </c>
      <c r="J32">
        <v>4</v>
      </c>
      <c r="K32">
        <v>5</v>
      </c>
      <c r="L32">
        <v>4</v>
      </c>
      <c r="M32">
        <f t="shared" si="0"/>
        <v>2</v>
      </c>
    </row>
    <row r="33" spans="1:13" x14ac:dyDescent="0.55000000000000004">
      <c r="A33">
        <v>2262</v>
      </c>
      <c r="B33">
        <v>120</v>
      </c>
      <c r="C33" t="s">
        <v>52</v>
      </c>
      <c r="D33">
        <v>7</v>
      </c>
      <c r="E33">
        <v>1.5</v>
      </c>
      <c r="F33">
        <v>3</v>
      </c>
      <c r="G33">
        <v>4</v>
      </c>
      <c r="H33">
        <v>4</v>
      </c>
      <c r="J33">
        <v>4</v>
      </c>
      <c r="K33">
        <v>5</v>
      </c>
      <c r="L33">
        <v>4</v>
      </c>
      <c r="M33">
        <f t="shared" si="0"/>
        <v>2</v>
      </c>
    </row>
    <row r="34" spans="1:13" x14ac:dyDescent="0.55000000000000004">
      <c r="A34">
        <v>2263</v>
      </c>
      <c r="B34">
        <v>141</v>
      </c>
      <c r="C34" t="s">
        <v>52</v>
      </c>
      <c r="D34">
        <v>6</v>
      </c>
      <c r="E34">
        <v>1.5</v>
      </c>
      <c r="F34">
        <v>2.5</v>
      </c>
      <c r="G34">
        <v>3</v>
      </c>
      <c r="H34">
        <v>4</v>
      </c>
      <c r="J34">
        <v>4</v>
      </c>
      <c r="K34">
        <v>5</v>
      </c>
      <c r="L34">
        <v>4</v>
      </c>
      <c r="M34">
        <f t="shared" si="0"/>
        <v>2</v>
      </c>
    </row>
    <row r="35" spans="1:13" x14ac:dyDescent="0.55000000000000004">
      <c r="A35">
        <v>2264</v>
      </c>
      <c r="B35">
        <v>249</v>
      </c>
      <c r="C35" t="s">
        <v>52</v>
      </c>
      <c r="D35">
        <v>1</v>
      </c>
      <c r="E35">
        <v>1.5</v>
      </c>
      <c r="F35">
        <v>3.5</v>
      </c>
      <c r="G35">
        <v>1</v>
      </c>
      <c r="H35">
        <v>4</v>
      </c>
      <c r="J35">
        <v>4</v>
      </c>
      <c r="K35">
        <v>5</v>
      </c>
      <c r="L35">
        <v>4</v>
      </c>
      <c r="M35">
        <f t="shared" si="0"/>
        <v>2</v>
      </c>
    </row>
    <row r="36" spans="1:13" x14ac:dyDescent="0.55000000000000004">
      <c r="A36">
        <v>2266</v>
      </c>
      <c r="B36">
        <v>128</v>
      </c>
      <c r="C36" t="s">
        <v>52</v>
      </c>
      <c r="D36">
        <v>9</v>
      </c>
      <c r="E36">
        <v>1.5</v>
      </c>
      <c r="F36">
        <v>2.5</v>
      </c>
      <c r="G36">
        <v>5</v>
      </c>
      <c r="H36">
        <v>4</v>
      </c>
      <c r="J36">
        <v>4</v>
      </c>
      <c r="K36">
        <v>5</v>
      </c>
      <c r="L36">
        <v>4</v>
      </c>
      <c r="M36">
        <f t="shared" si="0"/>
        <v>2</v>
      </c>
    </row>
    <row r="37" spans="1:13" x14ac:dyDescent="0.55000000000000004">
      <c r="A37">
        <v>2271</v>
      </c>
      <c r="B37">
        <v>163</v>
      </c>
      <c r="C37" t="s">
        <v>52</v>
      </c>
      <c r="D37">
        <v>2</v>
      </c>
      <c r="E37">
        <v>1.5</v>
      </c>
      <c r="F37">
        <v>3.5</v>
      </c>
      <c r="G37">
        <v>1</v>
      </c>
      <c r="H37">
        <v>4</v>
      </c>
      <c r="J37">
        <v>4</v>
      </c>
      <c r="K37">
        <v>5</v>
      </c>
      <c r="L37">
        <v>4</v>
      </c>
      <c r="M37">
        <f t="shared" si="0"/>
        <v>2</v>
      </c>
    </row>
    <row r="38" spans="1:13" x14ac:dyDescent="0.55000000000000004">
      <c r="A38">
        <v>2275</v>
      </c>
      <c r="B38">
        <v>168</v>
      </c>
      <c r="C38" t="s">
        <v>52</v>
      </c>
      <c r="D38">
        <v>6</v>
      </c>
      <c r="E38">
        <v>1.5</v>
      </c>
      <c r="F38">
        <v>2.5</v>
      </c>
      <c r="G38">
        <v>3</v>
      </c>
      <c r="H38">
        <v>4</v>
      </c>
      <c r="J38">
        <v>4</v>
      </c>
      <c r="K38">
        <v>5</v>
      </c>
      <c r="L38">
        <v>4</v>
      </c>
      <c r="M38">
        <f t="shared" si="0"/>
        <v>2</v>
      </c>
    </row>
    <row r="39" spans="1:13" x14ac:dyDescent="0.55000000000000004">
      <c r="A39">
        <v>2278</v>
      </c>
      <c r="B39">
        <v>53</v>
      </c>
      <c r="C39" t="s">
        <v>52</v>
      </c>
      <c r="D39">
        <v>1</v>
      </c>
      <c r="E39">
        <v>1.5</v>
      </c>
      <c r="F39">
        <v>3.5</v>
      </c>
      <c r="G39">
        <v>1</v>
      </c>
      <c r="H39">
        <v>3</v>
      </c>
      <c r="I39" t="s">
        <v>86</v>
      </c>
      <c r="J39">
        <v>4</v>
      </c>
      <c r="K39">
        <v>6</v>
      </c>
      <c r="L39">
        <v>3</v>
      </c>
      <c r="M39">
        <f t="shared" si="0"/>
        <v>2</v>
      </c>
    </row>
    <row r="40" spans="1:13" x14ac:dyDescent="0.55000000000000004">
      <c r="A40">
        <v>2279</v>
      </c>
      <c r="B40">
        <v>90</v>
      </c>
      <c r="C40" t="s">
        <v>52</v>
      </c>
      <c r="D40">
        <v>6</v>
      </c>
      <c r="E40">
        <v>1.5</v>
      </c>
      <c r="F40">
        <v>3</v>
      </c>
      <c r="G40">
        <v>3</v>
      </c>
      <c r="H40">
        <v>7</v>
      </c>
      <c r="I40" t="s">
        <v>53</v>
      </c>
      <c r="J40">
        <v>3</v>
      </c>
      <c r="K40">
        <v>7</v>
      </c>
      <c r="L40">
        <v>3</v>
      </c>
      <c r="M40">
        <f t="shared" si="0"/>
        <v>2</v>
      </c>
    </row>
    <row r="41" spans="1:13" x14ac:dyDescent="0.55000000000000004">
      <c r="A41">
        <v>2281</v>
      </c>
      <c r="B41">
        <v>37</v>
      </c>
      <c r="C41" t="s">
        <v>52</v>
      </c>
      <c r="D41">
        <v>4</v>
      </c>
      <c r="E41">
        <v>1.5</v>
      </c>
      <c r="F41">
        <v>3</v>
      </c>
      <c r="G41">
        <v>2</v>
      </c>
      <c r="H41">
        <v>7</v>
      </c>
      <c r="I41" t="s">
        <v>53</v>
      </c>
      <c r="J41">
        <v>5</v>
      </c>
      <c r="K41">
        <v>3</v>
      </c>
      <c r="L41">
        <v>1</v>
      </c>
      <c r="M41">
        <f t="shared" si="0"/>
        <v>2</v>
      </c>
    </row>
    <row r="42" spans="1:13" x14ac:dyDescent="0.55000000000000004">
      <c r="A42">
        <v>2283</v>
      </c>
      <c r="B42">
        <v>259</v>
      </c>
      <c r="C42" t="s">
        <v>52</v>
      </c>
      <c r="D42">
        <v>9</v>
      </c>
      <c r="E42">
        <v>1.5</v>
      </c>
      <c r="F42">
        <v>2.5</v>
      </c>
      <c r="G42">
        <v>5</v>
      </c>
      <c r="H42">
        <v>4</v>
      </c>
      <c r="J42">
        <v>4</v>
      </c>
      <c r="K42">
        <v>5</v>
      </c>
      <c r="L42">
        <v>4</v>
      </c>
      <c r="M42">
        <f t="shared" si="0"/>
        <v>2</v>
      </c>
    </row>
    <row r="43" spans="1:13" x14ac:dyDescent="0.55000000000000004">
      <c r="A43">
        <v>2284</v>
      </c>
      <c r="B43">
        <v>14</v>
      </c>
      <c r="C43" t="s">
        <v>52</v>
      </c>
      <c r="D43">
        <v>2</v>
      </c>
      <c r="E43">
        <v>1.5</v>
      </c>
      <c r="F43">
        <v>3.5</v>
      </c>
      <c r="G43">
        <v>1</v>
      </c>
      <c r="H43">
        <v>3</v>
      </c>
      <c r="I43" t="s">
        <v>86</v>
      </c>
      <c r="J43">
        <v>4</v>
      </c>
      <c r="K43">
        <v>3</v>
      </c>
      <c r="L43">
        <v>7</v>
      </c>
      <c r="M43">
        <f t="shared" si="0"/>
        <v>2</v>
      </c>
    </row>
    <row r="44" spans="1:13" x14ac:dyDescent="0.55000000000000004">
      <c r="A44">
        <v>2286</v>
      </c>
      <c r="B44">
        <v>60</v>
      </c>
      <c r="C44" t="s">
        <v>52</v>
      </c>
      <c r="D44">
        <v>1</v>
      </c>
      <c r="E44">
        <v>1.5</v>
      </c>
      <c r="F44">
        <v>3.5</v>
      </c>
      <c r="G44">
        <v>1</v>
      </c>
      <c r="H44">
        <v>6</v>
      </c>
      <c r="I44" t="s">
        <v>53</v>
      </c>
      <c r="J44">
        <v>6</v>
      </c>
      <c r="K44">
        <v>1</v>
      </c>
      <c r="L44">
        <v>2</v>
      </c>
      <c r="M44">
        <f t="shared" si="0"/>
        <v>2</v>
      </c>
    </row>
    <row r="45" spans="1:13" x14ac:dyDescent="0.55000000000000004">
      <c r="A45">
        <v>2287</v>
      </c>
      <c r="B45">
        <v>130</v>
      </c>
      <c r="C45" t="s">
        <v>52</v>
      </c>
      <c r="D45">
        <v>9</v>
      </c>
      <c r="E45">
        <v>1.5</v>
      </c>
      <c r="F45">
        <v>2.5</v>
      </c>
      <c r="G45">
        <v>5</v>
      </c>
      <c r="H45">
        <v>4</v>
      </c>
      <c r="J45">
        <v>4</v>
      </c>
      <c r="K45">
        <v>5</v>
      </c>
      <c r="L45">
        <v>4</v>
      </c>
      <c r="M45">
        <f t="shared" si="0"/>
        <v>2</v>
      </c>
    </row>
    <row r="46" spans="1:13" x14ac:dyDescent="0.55000000000000004">
      <c r="A46">
        <v>2288</v>
      </c>
      <c r="B46">
        <v>174</v>
      </c>
      <c r="C46" t="s">
        <v>52</v>
      </c>
      <c r="D46">
        <v>1</v>
      </c>
      <c r="E46">
        <v>1.5</v>
      </c>
      <c r="F46">
        <v>3.5</v>
      </c>
      <c r="G46">
        <v>1</v>
      </c>
      <c r="H46">
        <v>4</v>
      </c>
      <c r="J46">
        <v>4</v>
      </c>
      <c r="K46">
        <v>5</v>
      </c>
      <c r="L46">
        <v>4</v>
      </c>
      <c r="M46">
        <f t="shared" si="0"/>
        <v>2</v>
      </c>
    </row>
    <row r="47" spans="1:13" x14ac:dyDescent="0.55000000000000004">
      <c r="A47">
        <v>2290</v>
      </c>
      <c r="B47">
        <v>284</v>
      </c>
      <c r="C47" t="s">
        <v>52</v>
      </c>
      <c r="D47">
        <v>2</v>
      </c>
      <c r="E47">
        <v>1.5</v>
      </c>
      <c r="F47">
        <v>3.5</v>
      </c>
      <c r="G47">
        <v>1</v>
      </c>
      <c r="H47">
        <v>4</v>
      </c>
      <c r="J47">
        <v>4</v>
      </c>
      <c r="K47">
        <v>5</v>
      </c>
      <c r="L47">
        <v>4</v>
      </c>
      <c r="M47">
        <f t="shared" si="0"/>
        <v>2</v>
      </c>
    </row>
    <row r="48" spans="1:13" x14ac:dyDescent="0.55000000000000004">
      <c r="A48">
        <v>2291</v>
      </c>
      <c r="B48">
        <v>56</v>
      </c>
      <c r="C48" t="s">
        <v>52</v>
      </c>
      <c r="D48">
        <v>7</v>
      </c>
      <c r="E48">
        <v>1.5</v>
      </c>
      <c r="F48">
        <v>3</v>
      </c>
      <c r="G48">
        <v>4</v>
      </c>
      <c r="H48">
        <v>7</v>
      </c>
      <c r="I48" t="s">
        <v>94</v>
      </c>
      <c r="J48">
        <v>4</v>
      </c>
      <c r="K48">
        <v>5</v>
      </c>
      <c r="L48">
        <v>6</v>
      </c>
      <c r="M48">
        <f t="shared" si="0"/>
        <v>2</v>
      </c>
    </row>
    <row r="49" spans="1:13" x14ac:dyDescent="0.55000000000000004">
      <c r="A49">
        <v>2299</v>
      </c>
      <c r="B49">
        <v>140</v>
      </c>
      <c r="C49" t="s">
        <v>52</v>
      </c>
      <c r="D49">
        <v>9</v>
      </c>
      <c r="E49">
        <v>1.5</v>
      </c>
      <c r="F49">
        <v>2.5</v>
      </c>
      <c r="G49">
        <v>5</v>
      </c>
      <c r="H49">
        <v>4</v>
      </c>
      <c r="J49">
        <v>4</v>
      </c>
      <c r="K49">
        <v>5</v>
      </c>
      <c r="L49">
        <v>4</v>
      </c>
      <c r="M49">
        <f t="shared" si="0"/>
        <v>2</v>
      </c>
    </row>
    <row r="50" spans="1:13" x14ac:dyDescent="0.55000000000000004">
      <c r="A50">
        <v>2300</v>
      </c>
      <c r="B50">
        <v>205</v>
      </c>
      <c r="C50" t="s">
        <v>52</v>
      </c>
      <c r="D50">
        <v>7</v>
      </c>
      <c r="E50">
        <v>1.5</v>
      </c>
      <c r="F50">
        <v>3</v>
      </c>
      <c r="G50">
        <v>4</v>
      </c>
      <c r="H50">
        <v>4</v>
      </c>
      <c r="J50">
        <v>4</v>
      </c>
      <c r="K50">
        <v>5</v>
      </c>
      <c r="L50">
        <v>4</v>
      </c>
      <c r="M50">
        <f t="shared" si="0"/>
        <v>2</v>
      </c>
    </row>
    <row r="51" spans="1:13" x14ac:dyDescent="0.55000000000000004">
      <c r="A51">
        <v>2303</v>
      </c>
      <c r="B51">
        <v>91</v>
      </c>
      <c r="C51" t="s">
        <v>52</v>
      </c>
      <c r="D51">
        <v>1</v>
      </c>
      <c r="E51">
        <v>1.5</v>
      </c>
      <c r="F51">
        <v>3.5</v>
      </c>
      <c r="G51">
        <v>1</v>
      </c>
      <c r="H51">
        <v>3</v>
      </c>
      <c r="I51" t="s">
        <v>53</v>
      </c>
      <c r="J51">
        <v>1</v>
      </c>
      <c r="K51">
        <v>7</v>
      </c>
      <c r="L51">
        <v>5</v>
      </c>
      <c r="M51">
        <f t="shared" si="0"/>
        <v>2</v>
      </c>
    </row>
    <row r="52" spans="1:13" x14ac:dyDescent="0.55000000000000004">
      <c r="A52">
        <v>2305</v>
      </c>
      <c r="B52">
        <v>239</v>
      </c>
      <c r="C52" t="s">
        <v>52</v>
      </c>
      <c r="D52">
        <v>1</v>
      </c>
      <c r="E52">
        <v>1.5</v>
      </c>
      <c r="F52">
        <v>3.5</v>
      </c>
      <c r="G52">
        <v>1</v>
      </c>
      <c r="H52">
        <v>4</v>
      </c>
      <c r="J52">
        <v>4</v>
      </c>
      <c r="K52">
        <v>5</v>
      </c>
      <c r="L52">
        <v>4</v>
      </c>
      <c r="M52">
        <f t="shared" si="0"/>
        <v>2</v>
      </c>
    </row>
    <row r="53" spans="1:13" x14ac:dyDescent="0.55000000000000004">
      <c r="A53">
        <v>2306</v>
      </c>
      <c r="B53">
        <v>255</v>
      </c>
      <c r="C53" t="s">
        <v>52</v>
      </c>
      <c r="D53">
        <v>9</v>
      </c>
      <c r="E53">
        <v>1.5</v>
      </c>
      <c r="F53">
        <v>2.5</v>
      </c>
      <c r="G53">
        <v>5</v>
      </c>
      <c r="H53">
        <v>4</v>
      </c>
      <c r="J53">
        <v>4</v>
      </c>
      <c r="K53">
        <v>5</v>
      </c>
      <c r="L53">
        <v>4</v>
      </c>
      <c r="M53">
        <f t="shared" si="0"/>
        <v>2</v>
      </c>
    </row>
    <row r="54" spans="1:13" x14ac:dyDescent="0.55000000000000004">
      <c r="A54">
        <v>2316</v>
      </c>
      <c r="B54">
        <v>180</v>
      </c>
      <c r="C54" t="s">
        <v>52</v>
      </c>
      <c r="D54">
        <v>5</v>
      </c>
      <c r="E54">
        <v>1.5</v>
      </c>
      <c r="F54">
        <v>3</v>
      </c>
      <c r="G54">
        <v>3</v>
      </c>
      <c r="H54">
        <v>4</v>
      </c>
      <c r="J54">
        <v>4</v>
      </c>
      <c r="K54">
        <v>5</v>
      </c>
      <c r="L54">
        <v>4</v>
      </c>
      <c r="M54">
        <f t="shared" si="0"/>
        <v>2</v>
      </c>
    </row>
    <row r="55" spans="1:13" x14ac:dyDescent="0.55000000000000004">
      <c r="A55">
        <v>2317</v>
      </c>
      <c r="B55">
        <v>268</v>
      </c>
      <c r="C55" t="s">
        <v>52</v>
      </c>
      <c r="D55">
        <v>6</v>
      </c>
      <c r="E55">
        <v>1.5</v>
      </c>
      <c r="F55">
        <v>2.5</v>
      </c>
      <c r="G55">
        <v>3</v>
      </c>
      <c r="H55">
        <v>4</v>
      </c>
      <c r="J55">
        <v>4</v>
      </c>
      <c r="K55">
        <v>5</v>
      </c>
      <c r="L55">
        <v>4</v>
      </c>
      <c r="M55">
        <f t="shared" si="0"/>
        <v>2</v>
      </c>
    </row>
    <row r="56" spans="1:13" x14ac:dyDescent="0.55000000000000004">
      <c r="A56">
        <v>2319</v>
      </c>
      <c r="B56">
        <v>225</v>
      </c>
      <c r="C56" t="s">
        <v>52</v>
      </c>
      <c r="D56">
        <v>2</v>
      </c>
      <c r="E56">
        <v>1.5</v>
      </c>
      <c r="F56">
        <v>3.5</v>
      </c>
      <c r="G56">
        <v>1</v>
      </c>
      <c r="H56">
        <v>4</v>
      </c>
      <c r="J56">
        <v>4</v>
      </c>
      <c r="K56">
        <v>5</v>
      </c>
      <c r="L56">
        <v>4</v>
      </c>
      <c r="M56">
        <f t="shared" si="0"/>
        <v>2</v>
      </c>
    </row>
    <row r="57" spans="1:13" x14ac:dyDescent="0.55000000000000004">
      <c r="A57">
        <v>2324</v>
      </c>
      <c r="B57">
        <v>297</v>
      </c>
      <c r="C57" t="s">
        <v>52</v>
      </c>
      <c r="D57">
        <v>6</v>
      </c>
      <c r="E57">
        <v>1.5</v>
      </c>
      <c r="F57">
        <v>2.5</v>
      </c>
      <c r="G57">
        <v>3</v>
      </c>
      <c r="H57">
        <v>4</v>
      </c>
      <c r="J57">
        <v>4</v>
      </c>
      <c r="K57">
        <v>5</v>
      </c>
      <c r="L57">
        <v>4</v>
      </c>
      <c r="M57">
        <f t="shared" si="0"/>
        <v>2</v>
      </c>
    </row>
    <row r="58" spans="1:13" x14ac:dyDescent="0.55000000000000004">
      <c r="A58">
        <v>2327</v>
      </c>
      <c r="B58">
        <v>99</v>
      </c>
      <c r="C58" t="s">
        <v>52</v>
      </c>
      <c r="D58">
        <v>5</v>
      </c>
      <c r="E58">
        <v>1.5</v>
      </c>
      <c r="F58">
        <v>3</v>
      </c>
      <c r="G58">
        <v>3</v>
      </c>
      <c r="H58">
        <v>1</v>
      </c>
      <c r="I58" t="s">
        <v>53</v>
      </c>
      <c r="J58">
        <v>5</v>
      </c>
      <c r="K58">
        <v>5</v>
      </c>
      <c r="L58">
        <v>7</v>
      </c>
      <c r="M58">
        <f t="shared" si="0"/>
        <v>2</v>
      </c>
    </row>
    <row r="59" spans="1:13" x14ac:dyDescent="0.55000000000000004">
      <c r="A59">
        <v>2328</v>
      </c>
      <c r="B59">
        <v>129</v>
      </c>
      <c r="C59" t="s">
        <v>52</v>
      </c>
      <c r="D59">
        <v>4</v>
      </c>
      <c r="E59">
        <v>1.5</v>
      </c>
      <c r="F59">
        <v>3</v>
      </c>
      <c r="G59">
        <v>2</v>
      </c>
      <c r="H59">
        <v>4</v>
      </c>
      <c r="J59">
        <v>4</v>
      </c>
      <c r="K59">
        <v>5</v>
      </c>
      <c r="L59">
        <v>4</v>
      </c>
      <c r="M59">
        <f t="shared" si="0"/>
        <v>2</v>
      </c>
    </row>
    <row r="60" spans="1:13" x14ac:dyDescent="0.55000000000000004">
      <c r="A60">
        <v>2329</v>
      </c>
      <c r="B60">
        <v>172</v>
      </c>
      <c r="C60" t="s">
        <v>52</v>
      </c>
      <c r="D60">
        <v>7</v>
      </c>
      <c r="E60">
        <v>1.5</v>
      </c>
      <c r="F60">
        <v>3</v>
      </c>
      <c r="G60">
        <v>4</v>
      </c>
      <c r="H60">
        <v>4</v>
      </c>
      <c r="J60">
        <v>4</v>
      </c>
      <c r="K60">
        <v>5</v>
      </c>
      <c r="L60">
        <v>4</v>
      </c>
      <c r="M60">
        <f t="shared" si="0"/>
        <v>2</v>
      </c>
    </row>
    <row r="61" spans="1:13" x14ac:dyDescent="0.55000000000000004">
      <c r="A61">
        <v>2213</v>
      </c>
      <c r="B61">
        <v>199</v>
      </c>
      <c r="C61" t="s">
        <v>25</v>
      </c>
      <c r="D61">
        <v>1</v>
      </c>
      <c r="E61">
        <v>1</v>
      </c>
      <c r="F61">
        <v>2.2999999999999998</v>
      </c>
      <c r="G61">
        <v>0</v>
      </c>
      <c r="H61">
        <v>4</v>
      </c>
      <c r="J61">
        <v>4</v>
      </c>
      <c r="K61">
        <v>5</v>
      </c>
      <c r="L61">
        <v>4</v>
      </c>
      <c r="M61">
        <f t="shared" si="0"/>
        <v>1</v>
      </c>
    </row>
    <row r="62" spans="1:13" x14ac:dyDescent="0.55000000000000004">
      <c r="A62">
        <v>2214</v>
      </c>
      <c r="B62">
        <v>203</v>
      </c>
      <c r="C62" t="s">
        <v>25</v>
      </c>
      <c r="D62">
        <v>7</v>
      </c>
      <c r="E62">
        <v>1</v>
      </c>
      <c r="F62">
        <v>2.2999999999999998</v>
      </c>
      <c r="G62">
        <v>2</v>
      </c>
      <c r="H62">
        <v>4</v>
      </c>
      <c r="J62">
        <v>4</v>
      </c>
      <c r="K62">
        <v>5</v>
      </c>
      <c r="L62">
        <v>4</v>
      </c>
      <c r="M62">
        <f t="shared" si="0"/>
        <v>1</v>
      </c>
    </row>
    <row r="63" spans="1:13" x14ac:dyDescent="0.55000000000000004">
      <c r="A63">
        <v>2218</v>
      </c>
      <c r="B63">
        <v>62</v>
      </c>
      <c r="C63" t="s">
        <v>25</v>
      </c>
      <c r="D63">
        <v>2</v>
      </c>
      <c r="E63">
        <v>1</v>
      </c>
      <c r="F63">
        <v>2.2999999999999998</v>
      </c>
      <c r="G63">
        <v>0</v>
      </c>
      <c r="H63">
        <v>5</v>
      </c>
      <c r="I63" t="s">
        <v>53</v>
      </c>
      <c r="J63">
        <v>5</v>
      </c>
      <c r="K63">
        <v>2</v>
      </c>
      <c r="L63">
        <v>3</v>
      </c>
      <c r="M63">
        <f t="shared" si="0"/>
        <v>1</v>
      </c>
    </row>
    <row r="64" spans="1:13" x14ac:dyDescent="0.55000000000000004">
      <c r="A64">
        <v>2220</v>
      </c>
      <c r="B64">
        <v>83</v>
      </c>
      <c r="C64" t="s">
        <v>25</v>
      </c>
      <c r="D64">
        <v>9</v>
      </c>
      <c r="E64">
        <v>1</v>
      </c>
      <c r="F64">
        <v>2</v>
      </c>
      <c r="G64">
        <v>2</v>
      </c>
      <c r="H64">
        <v>7</v>
      </c>
      <c r="I64" t="s">
        <v>53</v>
      </c>
      <c r="J64">
        <v>5</v>
      </c>
      <c r="K64">
        <v>3</v>
      </c>
      <c r="L64">
        <v>1</v>
      </c>
      <c r="M64">
        <f t="shared" si="0"/>
        <v>1</v>
      </c>
    </row>
    <row r="65" spans="1:13" x14ac:dyDescent="0.55000000000000004">
      <c r="A65">
        <v>2221</v>
      </c>
      <c r="B65">
        <v>192</v>
      </c>
      <c r="C65" t="s">
        <v>25</v>
      </c>
      <c r="D65">
        <v>6</v>
      </c>
      <c r="E65">
        <v>1</v>
      </c>
      <c r="F65">
        <v>2</v>
      </c>
      <c r="G65">
        <v>1</v>
      </c>
      <c r="H65">
        <v>4</v>
      </c>
      <c r="J65">
        <v>4</v>
      </c>
      <c r="K65">
        <v>5</v>
      </c>
      <c r="L65">
        <v>4</v>
      </c>
      <c r="M65">
        <f t="shared" si="0"/>
        <v>1</v>
      </c>
    </row>
    <row r="66" spans="1:13" x14ac:dyDescent="0.55000000000000004">
      <c r="A66">
        <v>2222</v>
      </c>
      <c r="B66">
        <v>249</v>
      </c>
      <c r="C66" t="s">
        <v>25</v>
      </c>
      <c r="D66">
        <v>0</v>
      </c>
      <c r="E66">
        <v>1</v>
      </c>
      <c r="F66">
        <v>2.2999999999999998</v>
      </c>
      <c r="G66">
        <v>0</v>
      </c>
      <c r="H66">
        <v>4</v>
      </c>
      <c r="J66">
        <v>4</v>
      </c>
      <c r="K66">
        <v>5</v>
      </c>
      <c r="L66">
        <v>4</v>
      </c>
      <c r="M66">
        <f t="shared" si="0"/>
        <v>1</v>
      </c>
    </row>
    <row r="67" spans="1:13" x14ac:dyDescent="0.55000000000000004">
      <c r="A67">
        <v>2223</v>
      </c>
      <c r="B67">
        <v>82</v>
      </c>
      <c r="C67" t="s">
        <v>25</v>
      </c>
      <c r="D67">
        <v>2</v>
      </c>
      <c r="E67">
        <v>1</v>
      </c>
      <c r="F67">
        <v>2.2999999999999998</v>
      </c>
      <c r="G67">
        <v>0</v>
      </c>
      <c r="H67">
        <v>3</v>
      </c>
      <c r="I67" t="s">
        <v>53</v>
      </c>
      <c r="J67">
        <v>1</v>
      </c>
      <c r="K67">
        <v>7</v>
      </c>
      <c r="L67">
        <v>5</v>
      </c>
      <c r="M67">
        <f t="shared" ref="M67:M120" si="13">IF(C67="Soap A",1,IF(C67="Soap B",2,""))</f>
        <v>1</v>
      </c>
    </row>
    <row r="68" spans="1:13" x14ac:dyDescent="0.55000000000000004">
      <c r="A68">
        <v>2225</v>
      </c>
      <c r="B68">
        <v>284</v>
      </c>
      <c r="C68" t="s">
        <v>25</v>
      </c>
      <c r="D68">
        <v>2</v>
      </c>
      <c r="E68">
        <v>1</v>
      </c>
      <c r="F68">
        <v>2</v>
      </c>
      <c r="G68">
        <v>0</v>
      </c>
      <c r="H68">
        <v>4</v>
      </c>
      <c r="J68">
        <v>4</v>
      </c>
      <c r="K68">
        <v>5</v>
      </c>
      <c r="L68">
        <v>4</v>
      </c>
      <c r="M68">
        <f t="shared" si="13"/>
        <v>1</v>
      </c>
    </row>
    <row r="69" spans="1:13" x14ac:dyDescent="0.55000000000000004">
      <c r="A69">
        <v>2226</v>
      </c>
      <c r="B69">
        <v>52</v>
      </c>
      <c r="C69" t="s">
        <v>25</v>
      </c>
      <c r="D69">
        <v>4</v>
      </c>
      <c r="E69">
        <v>1</v>
      </c>
      <c r="F69">
        <v>2.2999999999999998</v>
      </c>
      <c r="G69">
        <v>1</v>
      </c>
      <c r="H69">
        <v>7</v>
      </c>
      <c r="I69" t="s">
        <v>86</v>
      </c>
      <c r="J69">
        <v>4</v>
      </c>
      <c r="K69">
        <v>4</v>
      </c>
      <c r="L69">
        <v>6</v>
      </c>
      <c r="M69">
        <f t="shared" si="13"/>
        <v>1</v>
      </c>
    </row>
    <row r="70" spans="1:13" x14ac:dyDescent="0.55000000000000004">
      <c r="A70">
        <v>2235</v>
      </c>
      <c r="B70">
        <v>94</v>
      </c>
      <c r="C70" t="s">
        <v>25</v>
      </c>
      <c r="D70">
        <v>2</v>
      </c>
      <c r="E70">
        <v>1</v>
      </c>
      <c r="F70">
        <v>2</v>
      </c>
      <c r="G70">
        <v>0</v>
      </c>
      <c r="H70">
        <v>4</v>
      </c>
      <c r="I70" t="s">
        <v>53</v>
      </c>
      <c r="J70">
        <v>4</v>
      </c>
      <c r="K70">
        <v>4</v>
      </c>
      <c r="L70">
        <v>7</v>
      </c>
      <c r="M70">
        <f t="shared" si="13"/>
        <v>1</v>
      </c>
    </row>
    <row r="71" spans="1:13" x14ac:dyDescent="0.55000000000000004">
      <c r="A71">
        <v>2237</v>
      </c>
      <c r="B71">
        <v>204</v>
      </c>
      <c r="C71" t="s">
        <v>25</v>
      </c>
      <c r="D71">
        <v>7</v>
      </c>
      <c r="E71">
        <v>1</v>
      </c>
      <c r="F71">
        <v>2.2999999999999998</v>
      </c>
      <c r="G71">
        <v>2</v>
      </c>
      <c r="H71">
        <v>4</v>
      </c>
      <c r="J71">
        <v>4</v>
      </c>
      <c r="K71">
        <v>5</v>
      </c>
      <c r="L71">
        <v>4</v>
      </c>
      <c r="M71">
        <f t="shared" si="13"/>
        <v>1</v>
      </c>
    </row>
    <row r="72" spans="1:13" x14ac:dyDescent="0.55000000000000004">
      <c r="A72">
        <v>2238</v>
      </c>
      <c r="B72">
        <v>240</v>
      </c>
      <c r="C72" t="s">
        <v>25</v>
      </c>
      <c r="D72">
        <v>2</v>
      </c>
      <c r="E72">
        <v>1</v>
      </c>
      <c r="F72">
        <v>2</v>
      </c>
      <c r="G72">
        <v>0</v>
      </c>
      <c r="H72">
        <v>4</v>
      </c>
      <c r="J72">
        <v>4</v>
      </c>
      <c r="K72">
        <v>5</v>
      </c>
      <c r="L72">
        <v>4</v>
      </c>
      <c r="M72">
        <f t="shared" si="13"/>
        <v>1</v>
      </c>
    </row>
    <row r="73" spans="1:13" x14ac:dyDescent="0.55000000000000004">
      <c r="A73">
        <v>2241</v>
      </c>
      <c r="B73">
        <v>30</v>
      </c>
      <c r="C73" t="s">
        <v>25</v>
      </c>
      <c r="D73">
        <v>2</v>
      </c>
      <c r="E73">
        <v>1</v>
      </c>
      <c r="F73">
        <v>2</v>
      </c>
      <c r="G73">
        <v>0</v>
      </c>
      <c r="H73">
        <v>2</v>
      </c>
      <c r="I73" t="s">
        <v>53</v>
      </c>
      <c r="J73">
        <v>6</v>
      </c>
      <c r="K73">
        <v>2</v>
      </c>
      <c r="L73">
        <v>1</v>
      </c>
      <c r="M73">
        <f t="shared" si="13"/>
        <v>1</v>
      </c>
    </row>
    <row r="74" spans="1:13" x14ac:dyDescent="0.55000000000000004">
      <c r="A74">
        <v>2244</v>
      </c>
      <c r="B74">
        <v>55</v>
      </c>
      <c r="C74" t="s">
        <v>25</v>
      </c>
      <c r="D74">
        <v>8</v>
      </c>
      <c r="E74">
        <v>1</v>
      </c>
      <c r="F74">
        <v>2</v>
      </c>
      <c r="G74">
        <v>2</v>
      </c>
      <c r="H74">
        <v>4</v>
      </c>
      <c r="I74" t="s">
        <v>86</v>
      </c>
      <c r="J74">
        <v>7</v>
      </c>
      <c r="K74">
        <v>2</v>
      </c>
      <c r="L74">
        <v>1</v>
      </c>
      <c r="M74">
        <f t="shared" si="13"/>
        <v>1</v>
      </c>
    </row>
    <row r="75" spans="1:13" x14ac:dyDescent="0.55000000000000004">
      <c r="A75">
        <v>2245</v>
      </c>
      <c r="B75">
        <v>100</v>
      </c>
      <c r="C75" t="s">
        <v>25</v>
      </c>
      <c r="D75">
        <v>1</v>
      </c>
      <c r="E75">
        <v>1</v>
      </c>
      <c r="F75">
        <v>2.2999999999999998</v>
      </c>
      <c r="G75">
        <v>0</v>
      </c>
      <c r="H75">
        <v>4</v>
      </c>
      <c r="I75" t="s">
        <v>53</v>
      </c>
      <c r="J75">
        <v>2</v>
      </c>
      <c r="K75">
        <v>6</v>
      </c>
      <c r="L75">
        <v>3</v>
      </c>
      <c r="M75">
        <f t="shared" si="13"/>
        <v>1</v>
      </c>
    </row>
    <row r="76" spans="1:13" x14ac:dyDescent="0.55000000000000004">
      <c r="A76">
        <v>2249</v>
      </c>
      <c r="B76">
        <v>199</v>
      </c>
      <c r="C76" t="s">
        <v>25</v>
      </c>
      <c r="D76">
        <v>0</v>
      </c>
      <c r="E76">
        <v>1</v>
      </c>
      <c r="F76">
        <v>2</v>
      </c>
      <c r="G76">
        <v>0</v>
      </c>
      <c r="H76">
        <v>4</v>
      </c>
      <c r="J76">
        <v>4</v>
      </c>
      <c r="K76">
        <v>5</v>
      </c>
      <c r="L76">
        <v>4</v>
      </c>
      <c r="M76">
        <f t="shared" si="13"/>
        <v>1</v>
      </c>
    </row>
    <row r="77" spans="1:13" x14ac:dyDescent="0.55000000000000004">
      <c r="A77">
        <v>2257</v>
      </c>
      <c r="B77">
        <v>93</v>
      </c>
      <c r="C77" t="s">
        <v>25</v>
      </c>
      <c r="D77">
        <v>1</v>
      </c>
      <c r="E77">
        <v>1</v>
      </c>
      <c r="F77">
        <v>2.2999999999999998</v>
      </c>
      <c r="G77">
        <v>0</v>
      </c>
      <c r="H77">
        <v>7</v>
      </c>
      <c r="I77" t="s">
        <v>53</v>
      </c>
      <c r="J77">
        <v>5</v>
      </c>
      <c r="K77">
        <v>3</v>
      </c>
      <c r="L77">
        <v>2</v>
      </c>
      <c r="M77">
        <f t="shared" si="13"/>
        <v>1</v>
      </c>
    </row>
    <row r="78" spans="1:13" x14ac:dyDescent="0.55000000000000004">
      <c r="A78">
        <v>2258</v>
      </c>
      <c r="B78">
        <v>130</v>
      </c>
      <c r="C78" t="s">
        <v>25</v>
      </c>
      <c r="D78">
        <v>9</v>
      </c>
      <c r="E78">
        <v>1</v>
      </c>
      <c r="F78">
        <v>2</v>
      </c>
      <c r="G78">
        <v>2</v>
      </c>
      <c r="H78">
        <v>4</v>
      </c>
      <c r="J78">
        <v>4</v>
      </c>
      <c r="K78">
        <v>5</v>
      </c>
      <c r="L78">
        <v>4</v>
      </c>
      <c r="M78">
        <f t="shared" si="13"/>
        <v>1</v>
      </c>
    </row>
    <row r="79" spans="1:13" x14ac:dyDescent="0.55000000000000004">
      <c r="A79">
        <v>2261</v>
      </c>
      <c r="B79">
        <v>75</v>
      </c>
      <c r="C79" t="s">
        <v>25</v>
      </c>
      <c r="D79">
        <v>7</v>
      </c>
      <c r="E79">
        <v>1</v>
      </c>
      <c r="F79">
        <v>2.2999999999999998</v>
      </c>
      <c r="G79">
        <v>2</v>
      </c>
      <c r="H79">
        <v>2</v>
      </c>
      <c r="I79" t="s">
        <v>53</v>
      </c>
      <c r="J79">
        <v>3</v>
      </c>
      <c r="K79">
        <v>6</v>
      </c>
      <c r="L79">
        <v>4</v>
      </c>
      <c r="M79">
        <f t="shared" si="13"/>
        <v>1</v>
      </c>
    </row>
    <row r="80" spans="1:13" x14ac:dyDescent="0.55000000000000004">
      <c r="A80">
        <v>2265</v>
      </c>
      <c r="B80">
        <v>25</v>
      </c>
      <c r="C80" t="s">
        <v>25</v>
      </c>
      <c r="D80">
        <v>10</v>
      </c>
      <c r="E80">
        <v>1</v>
      </c>
      <c r="F80">
        <v>2</v>
      </c>
      <c r="G80">
        <v>2</v>
      </c>
      <c r="H80">
        <v>2</v>
      </c>
      <c r="I80" t="s">
        <v>53</v>
      </c>
      <c r="J80">
        <v>5</v>
      </c>
      <c r="K80">
        <v>3</v>
      </c>
      <c r="L80">
        <v>2</v>
      </c>
      <c r="M80">
        <f t="shared" si="13"/>
        <v>1</v>
      </c>
    </row>
    <row r="81" spans="1:13" x14ac:dyDescent="0.55000000000000004">
      <c r="A81">
        <v>2267</v>
      </c>
      <c r="B81">
        <v>203</v>
      </c>
      <c r="C81" t="s">
        <v>25</v>
      </c>
      <c r="D81">
        <v>9</v>
      </c>
      <c r="E81">
        <v>1</v>
      </c>
      <c r="F81">
        <v>2</v>
      </c>
      <c r="G81">
        <v>2</v>
      </c>
      <c r="H81">
        <v>4</v>
      </c>
      <c r="J81">
        <v>4</v>
      </c>
      <c r="K81">
        <v>5</v>
      </c>
      <c r="L81">
        <v>4</v>
      </c>
      <c r="M81">
        <f t="shared" si="13"/>
        <v>1</v>
      </c>
    </row>
    <row r="82" spans="1:13" x14ac:dyDescent="0.55000000000000004">
      <c r="A82">
        <v>2268</v>
      </c>
      <c r="B82">
        <v>277</v>
      </c>
      <c r="C82" t="s">
        <v>25</v>
      </c>
      <c r="D82">
        <v>6</v>
      </c>
      <c r="E82">
        <v>1</v>
      </c>
      <c r="F82">
        <v>2.2999999999999998</v>
      </c>
      <c r="G82">
        <v>1</v>
      </c>
      <c r="H82">
        <v>4</v>
      </c>
      <c r="J82">
        <v>4</v>
      </c>
      <c r="K82">
        <v>5</v>
      </c>
      <c r="L82">
        <v>4</v>
      </c>
      <c r="M82">
        <f t="shared" si="13"/>
        <v>1</v>
      </c>
    </row>
    <row r="83" spans="1:13" x14ac:dyDescent="0.55000000000000004">
      <c r="A83">
        <v>2269</v>
      </c>
      <c r="B83">
        <v>91</v>
      </c>
      <c r="C83" t="s">
        <v>25</v>
      </c>
      <c r="D83">
        <v>5</v>
      </c>
      <c r="E83">
        <v>1</v>
      </c>
      <c r="F83">
        <v>2.2999999999999998</v>
      </c>
      <c r="G83">
        <v>1</v>
      </c>
      <c r="H83">
        <v>3</v>
      </c>
      <c r="I83" t="s">
        <v>53</v>
      </c>
      <c r="J83">
        <v>1</v>
      </c>
      <c r="K83">
        <v>7</v>
      </c>
      <c r="L83">
        <v>5</v>
      </c>
      <c r="M83">
        <f t="shared" si="13"/>
        <v>1</v>
      </c>
    </row>
    <row r="84" spans="1:13" x14ac:dyDescent="0.55000000000000004">
      <c r="A84">
        <v>2270</v>
      </c>
      <c r="B84">
        <v>154</v>
      </c>
      <c r="C84" t="s">
        <v>25</v>
      </c>
      <c r="D84">
        <v>2</v>
      </c>
      <c r="E84">
        <v>1</v>
      </c>
      <c r="F84">
        <v>2</v>
      </c>
      <c r="G84">
        <v>0</v>
      </c>
      <c r="H84">
        <v>4</v>
      </c>
      <c r="J84">
        <v>4</v>
      </c>
      <c r="K84">
        <v>5</v>
      </c>
      <c r="L84">
        <v>4</v>
      </c>
      <c r="M84">
        <f t="shared" si="13"/>
        <v>1</v>
      </c>
    </row>
    <row r="85" spans="1:13" x14ac:dyDescent="0.55000000000000004">
      <c r="A85">
        <v>2272</v>
      </c>
      <c r="B85">
        <v>12</v>
      </c>
      <c r="C85" t="s">
        <v>25</v>
      </c>
      <c r="D85">
        <v>6</v>
      </c>
      <c r="E85">
        <v>1</v>
      </c>
      <c r="F85">
        <v>2.2999999999999998</v>
      </c>
      <c r="G85">
        <v>1</v>
      </c>
      <c r="H85">
        <v>2</v>
      </c>
      <c r="I85" t="s">
        <v>86</v>
      </c>
      <c r="J85">
        <v>3</v>
      </c>
      <c r="K85">
        <v>3</v>
      </c>
      <c r="L85">
        <v>7</v>
      </c>
      <c r="M85">
        <f t="shared" si="13"/>
        <v>1</v>
      </c>
    </row>
    <row r="86" spans="1:13" x14ac:dyDescent="0.55000000000000004">
      <c r="A86">
        <v>2273</v>
      </c>
      <c r="B86">
        <v>99</v>
      </c>
      <c r="C86" t="s">
        <v>25</v>
      </c>
      <c r="D86">
        <v>0</v>
      </c>
      <c r="E86">
        <v>1</v>
      </c>
      <c r="F86">
        <v>2.2999999999999998</v>
      </c>
      <c r="G86">
        <v>0</v>
      </c>
      <c r="H86">
        <v>1</v>
      </c>
      <c r="I86" t="s">
        <v>53</v>
      </c>
      <c r="J86">
        <v>5</v>
      </c>
      <c r="K86">
        <v>5</v>
      </c>
      <c r="L86">
        <v>7</v>
      </c>
      <c r="M86">
        <f t="shared" si="13"/>
        <v>1</v>
      </c>
    </row>
    <row r="87" spans="1:13" x14ac:dyDescent="0.55000000000000004">
      <c r="A87">
        <v>2274</v>
      </c>
      <c r="B87">
        <v>151</v>
      </c>
      <c r="C87" t="s">
        <v>25</v>
      </c>
      <c r="D87">
        <v>4</v>
      </c>
      <c r="E87">
        <v>1</v>
      </c>
      <c r="F87">
        <v>2.2999999999999998</v>
      </c>
      <c r="G87">
        <v>1</v>
      </c>
      <c r="H87">
        <v>4</v>
      </c>
      <c r="J87">
        <v>4</v>
      </c>
      <c r="K87">
        <v>5</v>
      </c>
      <c r="L87">
        <v>4</v>
      </c>
      <c r="M87">
        <f t="shared" si="13"/>
        <v>1</v>
      </c>
    </row>
    <row r="88" spans="1:13" x14ac:dyDescent="0.55000000000000004">
      <c r="A88">
        <v>2276</v>
      </c>
      <c r="B88">
        <v>246</v>
      </c>
      <c r="C88" t="s">
        <v>25</v>
      </c>
      <c r="D88">
        <v>7</v>
      </c>
      <c r="E88">
        <v>1</v>
      </c>
      <c r="F88">
        <v>2.2999999999999998</v>
      </c>
      <c r="G88">
        <v>2</v>
      </c>
      <c r="H88">
        <v>4</v>
      </c>
      <c r="J88">
        <v>4</v>
      </c>
      <c r="K88">
        <v>5</v>
      </c>
      <c r="L88">
        <v>4</v>
      </c>
      <c r="M88">
        <f t="shared" si="13"/>
        <v>1</v>
      </c>
    </row>
    <row r="89" spans="1:13" x14ac:dyDescent="0.55000000000000004">
      <c r="A89">
        <v>2277</v>
      </c>
      <c r="B89">
        <v>28</v>
      </c>
      <c r="C89" t="s">
        <v>25</v>
      </c>
      <c r="D89">
        <v>6</v>
      </c>
      <c r="E89">
        <v>1</v>
      </c>
      <c r="F89">
        <v>2.2999999999999998</v>
      </c>
      <c r="G89">
        <v>1</v>
      </c>
      <c r="H89">
        <v>1</v>
      </c>
      <c r="I89" t="s">
        <v>88</v>
      </c>
      <c r="J89">
        <v>6</v>
      </c>
      <c r="K89">
        <v>5</v>
      </c>
      <c r="L89">
        <v>5</v>
      </c>
      <c r="M89">
        <f t="shared" si="13"/>
        <v>1</v>
      </c>
    </row>
    <row r="90" spans="1:13" x14ac:dyDescent="0.55000000000000004">
      <c r="A90">
        <v>2280</v>
      </c>
      <c r="B90">
        <v>165</v>
      </c>
      <c r="C90" t="s">
        <v>25</v>
      </c>
      <c r="D90">
        <v>5</v>
      </c>
      <c r="E90">
        <v>1</v>
      </c>
      <c r="F90">
        <v>2</v>
      </c>
      <c r="G90">
        <v>1</v>
      </c>
      <c r="H90">
        <v>4</v>
      </c>
      <c r="J90">
        <v>4</v>
      </c>
      <c r="K90">
        <v>5</v>
      </c>
      <c r="L90">
        <v>4</v>
      </c>
      <c r="M90">
        <f t="shared" si="13"/>
        <v>1</v>
      </c>
    </row>
    <row r="91" spans="1:13" x14ac:dyDescent="0.55000000000000004">
      <c r="A91">
        <v>2282</v>
      </c>
      <c r="B91">
        <v>66</v>
      </c>
      <c r="C91" t="s">
        <v>25</v>
      </c>
      <c r="D91">
        <v>7</v>
      </c>
      <c r="E91">
        <v>1</v>
      </c>
      <c r="F91">
        <v>2.2999999999999998</v>
      </c>
      <c r="G91">
        <v>2</v>
      </c>
      <c r="H91">
        <v>4</v>
      </c>
      <c r="I91" t="s">
        <v>53</v>
      </c>
      <c r="J91">
        <v>1</v>
      </c>
      <c r="K91">
        <v>6</v>
      </c>
      <c r="L91">
        <v>4</v>
      </c>
      <c r="M91">
        <f t="shared" si="13"/>
        <v>1</v>
      </c>
    </row>
    <row r="92" spans="1:13" x14ac:dyDescent="0.55000000000000004">
      <c r="A92">
        <v>2285</v>
      </c>
      <c r="B92">
        <v>26</v>
      </c>
      <c r="C92" t="s">
        <v>25</v>
      </c>
      <c r="D92">
        <v>2</v>
      </c>
      <c r="E92">
        <v>1</v>
      </c>
      <c r="F92">
        <v>2.2999999999999998</v>
      </c>
      <c r="G92">
        <v>0</v>
      </c>
      <c r="H92">
        <v>2</v>
      </c>
      <c r="I92" t="s">
        <v>87</v>
      </c>
      <c r="J92">
        <v>5</v>
      </c>
      <c r="K92">
        <v>3</v>
      </c>
      <c r="L92">
        <v>2</v>
      </c>
      <c r="M92">
        <f t="shared" si="13"/>
        <v>1</v>
      </c>
    </row>
    <row r="93" spans="1:13" x14ac:dyDescent="0.55000000000000004">
      <c r="A93">
        <v>2285</v>
      </c>
      <c r="B93">
        <v>26</v>
      </c>
      <c r="C93" t="s">
        <v>25</v>
      </c>
      <c r="D93">
        <v>2</v>
      </c>
      <c r="E93">
        <v>1</v>
      </c>
      <c r="F93">
        <v>2.2999999999999998</v>
      </c>
      <c r="G93">
        <v>0</v>
      </c>
      <c r="H93">
        <v>2</v>
      </c>
      <c r="I93" t="s">
        <v>87</v>
      </c>
      <c r="J93">
        <v>5</v>
      </c>
      <c r="K93">
        <v>3</v>
      </c>
      <c r="L93">
        <v>2</v>
      </c>
      <c r="M93">
        <f t="shared" si="13"/>
        <v>1</v>
      </c>
    </row>
    <row r="94" spans="1:13" x14ac:dyDescent="0.55000000000000004">
      <c r="A94">
        <v>2289</v>
      </c>
      <c r="B94">
        <v>280</v>
      </c>
      <c r="C94" t="s">
        <v>25</v>
      </c>
      <c r="D94">
        <v>10</v>
      </c>
      <c r="E94">
        <v>1</v>
      </c>
      <c r="F94">
        <v>2</v>
      </c>
      <c r="G94">
        <v>2</v>
      </c>
      <c r="H94">
        <v>4</v>
      </c>
      <c r="J94">
        <v>4</v>
      </c>
      <c r="K94">
        <v>5</v>
      </c>
      <c r="L94">
        <v>4</v>
      </c>
      <c r="M94">
        <f t="shared" si="13"/>
        <v>1</v>
      </c>
    </row>
    <row r="95" spans="1:13" x14ac:dyDescent="0.55000000000000004">
      <c r="A95">
        <v>2292</v>
      </c>
      <c r="B95">
        <v>68</v>
      </c>
      <c r="C95" t="s">
        <v>25</v>
      </c>
      <c r="D95">
        <v>1</v>
      </c>
      <c r="E95">
        <v>1</v>
      </c>
      <c r="F95">
        <v>2.2999999999999998</v>
      </c>
      <c r="G95">
        <v>0</v>
      </c>
      <c r="H95">
        <v>4</v>
      </c>
      <c r="I95" t="s">
        <v>91</v>
      </c>
      <c r="J95">
        <v>2</v>
      </c>
      <c r="K95">
        <v>7</v>
      </c>
      <c r="L95">
        <v>4</v>
      </c>
      <c r="M95">
        <f t="shared" si="13"/>
        <v>1</v>
      </c>
    </row>
    <row r="96" spans="1:13" x14ac:dyDescent="0.55000000000000004">
      <c r="A96">
        <v>2293</v>
      </c>
      <c r="B96">
        <v>267</v>
      </c>
      <c r="C96" t="s">
        <v>25</v>
      </c>
      <c r="D96">
        <v>6</v>
      </c>
      <c r="E96">
        <v>1</v>
      </c>
      <c r="F96">
        <v>2.2999999999999998</v>
      </c>
      <c r="G96">
        <v>1</v>
      </c>
      <c r="H96">
        <v>4</v>
      </c>
      <c r="J96">
        <v>4</v>
      </c>
      <c r="K96">
        <v>5</v>
      </c>
      <c r="L96">
        <v>4</v>
      </c>
      <c r="M96">
        <f t="shared" si="13"/>
        <v>1</v>
      </c>
    </row>
    <row r="97" spans="1:13" x14ac:dyDescent="0.55000000000000004">
      <c r="A97">
        <v>2294</v>
      </c>
      <c r="B97">
        <v>268</v>
      </c>
      <c r="C97" t="s">
        <v>25</v>
      </c>
      <c r="D97">
        <v>6</v>
      </c>
      <c r="E97">
        <v>1</v>
      </c>
      <c r="F97">
        <v>2.2999999999999998</v>
      </c>
      <c r="G97">
        <v>1</v>
      </c>
      <c r="H97">
        <v>4</v>
      </c>
      <c r="J97">
        <v>4</v>
      </c>
      <c r="K97">
        <v>5</v>
      </c>
      <c r="L97">
        <v>4</v>
      </c>
      <c r="M97">
        <f t="shared" si="13"/>
        <v>1</v>
      </c>
    </row>
    <row r="98" spans="1:13" x14ac:dyDescent="0.55000000000000004">
      <c r="A98">
        <v>2295</v>
      </c>
      <c r="B98">
        <v>288</v>
      </c>
      <c r="C98" t="s">
        <v>25</v>
      </c>
      <c r="D98">
        <v>0</v>
      </c>
      <c r="E98">
        <v>1</v>
      </c>
      <c r="F98">
        <v>2</v>
      </c>
      <c r="G98">
        <v>0</v>
      </c>
      <c r="H98">
        <v>4</v>
      </c>
      <c r="J98">
        <v>4</v>
      </c>
      <c r="K98">
        <v>5</v>
      </c>
      <c r="L98">
        <v>4</v>
      </c>
      <c r="M98">
        <f t="shared" si="13"/>
        <v>1</v>
      </c>
    </row>
    <row r="99" spans="1:13" x14ac:dyDescent="0.55000000000000004">
      <c r="A99">
        <v>2296</v>
      </c>
      <c r="B99">
        <v>111</v>
      </c>
      <c r="C99" t="s">
        <v>25</v>
      </c>
      <c r="D99">
        <v>9</v>
      </c>
      <c r="E99">
        <v>1</v>
      </c>
      <c r="F99">
        <v>2</v>
      </c>
      <c r="G99">
        <v>2</v>
      </c>
      <c r="H99">
        <v>4</v>
      </c>
      <c r="I99" t="s">
        <v>53</v>
      </c>
      <c r="J99">
        <v>3</v>
      </c>
      <c r="K99">
        <v>7</v>
      </c>
      <c r="L99">
        <v>3</v>
      </c>
      <c r="M99">
        <f t="shared" si="13"/>
        <v>1</v>
      </c>
    </row>
    <row r="100" spans="1:13" x14ac:dyDescent="0.55000000000000004">
      <c r="A100">
        <v>2297</v>
      </c>
      <c r="B100">
        <v>281</v>
      </c>
      <c r="C100" t="s">
        <v>25</v>
      </c>
      <c r="D100">
        <v>2</v>
      </c>
      <c r="E100">
        <v>1</v>
      </c>
      <c r="F100">
        <v>2</v>
      </c>
      <c r="G100">
        <v>0</v>
      </c>
      <c r="H100">
        <v>4</v>
      </c>
      <c r="J100">
        <v>4</v>
      </c>
      <c r="K100">
        <v>5</v>
      </c>
      <c r="L100">
        <v>4</v>
      </c>
      <c r="M100">
        <f t="shared" si="13"/>
        <v>1</v>
      </c>
    </row>
    <row r="101" spans="1:13" x14ac:dyDescent="0.55000000000000004">
      <c r="A101">
        <v>2298</v>
      </c>
      <c r="B101">
        <v>69</v>
      </c>
      <c r="C101" t="s">
        <v>25</v>
      </c>
      <c r="D101">
        <v>3</v>
      </c>
      <c r="E101">
        <v>1</v>
      </c>
      <c r="F101">
        <v>2.2999999999999998</v>
      </c>
      <c r="G101">
        <v>1</v>
      </c>
      <c r="H101">
        <v>3</v>
      </c>
      <c r="I101" t="s">
        <v>53</v>
      </c>
      <c r="J101">
        <v>4</v>
      </c>
      <c r="K101">
        <v>3</v>
      </c>
      <c r="L101">
        <v>6</v>
      </c>
      <c r="M101">
        <f t="shared" si="13"/>
        <v>1</v>
      </c>
    </row>
    <row r="102" spans="1:13" x14ac:dyDescent="0.55000000000000004">
      <c r="A102">
        <v>2301</v>
      </c>
      <c r="B102">
        <v>35</v>
      </c>
      <c r="C102" t="s">
        <v>25</v>
      </c>
      <c r="D102">
        <v>2</v>
      </c>
      <c r="E102">
        <v>1</v>
      </c>
      <c r="F102">
        <v>2.2999999999999998</v>
      </c>
      <c r="G102">
        <v>0</v>
      </c>
      <c r="H102">
        <v>7</v>
      </c>
      <c r="I102" t="s">
        <v>86</v>
      </c>
      <c r="J102">
        <v>5</v>
      </c>
      <c r="K102">
        <v>2</v>
      </c>
      <c r="L102">
        <v>2</v>
      </c>
      <c r="M102">
        <f t="shared" si="13"/>
        <v>1</v>
      </c>
    </row>
    <row r="103" spans="1:13" x14ac:dyDescent="0.55000000000000004">
      <c r="A103">
        <v>2302</v>
      </c>
      <c r="B103">
        <v>83</v>
      </c>
      <c r="C103" t="s">
        <v>25</v>
      </c>
      <c r="D103">
        <v>4</v>
      </c>
      <c r="E103">
        <v>1</v>
      </c>
      <c r="F103">
        <v>2</v>
      </c>
      <c r="G103">
        <v>1</v>
      </c>
      <c r="H103">
        <v>7</v>
      </c>
      <c r="I103" t="s">
        <v>53</v>
      </c>
      <c r="J103">
        <v>5</v>
      </c>
      <c r="K103">
        <v>3</v>
      </c>
      <c r="L103">
        <v>1</v>
      </c>
      <c r="M103">
        <f t="shared" si="13"/>
        <v>1</v>
      </c>
    </row>
    <row r="104" spans="1:13" x14ac:dyDescent="0.55000000000000004">
      <c r="A104">
        <v>2304</v>
      </c>
      <c r="B104">
        <v>154</v>
      </c>
      <c r="C104" t="s">
        <v>25</v>
      </c>
      <c r="D104">
        <v>6</v>
      </c>
      <c r="E104">
        <v>1</v>
      </c>
      <c r="F104">
        <v>2</v>
      </c>
      <c r="G104">
        <v>1</v>
      </c>
      <c r="H104">
        <v>4</v>
      </c>
      <c r="J104">
        <v>4</v>
      </c>
      <c r="K104">
        <v>5</v>
      </c>
      <c r="L104">
        <v>4</v>
      </c>
      <c r="M104">
        <f t="shared" si="13"/>
        <v>1</v>
      </c>
    </row>
    <row r="105" spans="1:13" x14ac:dyDescent="0.55000000000000004">
      <c r="A105">
        <v>2307</v>
      </c>
      <c r="B105">
        <v>31</v>
      </c>
      <c r="C105" t="s">
        <v>25</v>
      </c>
      <c r="D105">
        <v>5</v>
      </c>
      <c r="E105">
        <v>1</v>
      </c>
      <c r="F105">
        <v>2</v>
      </c>
      <c r="G105">
        <v>1</v>
      </c>
      <c r="H105">
        <v>2</v>
      </c>
      <c r="I105" t="s">
        <v>89</v>
      </c>
      <c r="J105">
        <v>5</v>
      </c>
      <c r="K105">
        <v>5</v>
      </c>
      <c r="L105">
        <v>5</v>
      </c>
      <c r="M105">
        <f t="shared" si="13"/>
        <v>1</v>
      </c>
    </row>
    <row r="106" spans="1:13" x14ac:dyDescent="0.55000000000000004">
      <c r="A106">
        <v>2308</v>
      </c>
      <c r="B106">
        <v>71</v>
      </c>
      <c r="C106" t="s">
        <v>25</v>
      </c>
      <c r="D106">
        <v>10</v>
      </c>
      <c r="E106">
        <v>1</v>
      </c>
      <c r="F106">
        <v>2</v>
      </c>
      <c r="G106">
        <v>2</v>
      </c>
      <c r="H106">
        <v>3</v>
      </c>
      <c r="I106" t="s">
        <v>53</v>
      </c>
      <c r="J106">
        <v>4</v>
      </c>
      <c r="K106">
        <v>4</v>
      </c>
      <c r="L106">
        <v>7</v>
      </c>
      <c r="M106">
        <f t="shared" si="13"/>
        <v>1</v>
      </c>
    </row>
    <row r="107" spans="1:13" x14ac:dyDescent="0.55000000000000004">
      <c r="A107">
        <v>2309</v>
      </c>
      <c r="B107">
        <v>142</v>
      </c>
      <c r="C107" t="s">
        <v>25</v>
      </c>
      <c r="D107">
        <v>4</v>
      </c>
      <c r="E107">
        <v>1</v>
      </c>
      <c r="F107">
        <v>2.2999999999999998</v>
      </c>
      <c r="G107">
        <v>1</v>
      </c>
      <c r="H107">
        <v>4</v>
      </c>
      <c r="J107">
        <v>4</v>
      </c>
      <c r="K107">
        <v>5</v>
      </c>
      <c r="L107">
        <v>4</v>
      </c>
      <c r="M107">
        <f t="shared" si="13"/>
        <v>1</v>
      </c>
    </row>
    <row r="108" spans="1:13" x14ac:dyDescent="0.55000000000000004">
      <c r="A108">
        <v>2310</v>
      </c>
      <c r="B108">
        <v>115</v>
      </c>
      <c r="C108" t="s">
        <v>25</v>
      </c>
      <c r="D108">
        <v>5</v>
      </c>
      <c r="E108">
        <v>1</v>
      </c>
      <c r="F108">
        <v>2</v>
      </c>
      <c r="G108">
        <v>1</v>
      </c>
      <c r="H108">
        <v>2</v>
      </c>
      <c r="I108" t="s">
        <v>53</v>
      </c>
      <c r="J108">
        <v>2</v>
      </c>
      <c r="K108">
        <v>5</v>
      </c>
      <c r="L108">
        <v>5</v>
      </c>
      <c r="M108">
        <f t="shared" si="13"/>
        <v>1</v>
      </c>
    </row>
    <row r="109" spans="1:13" x14ac:dyDescent="0.55000000000000004">
      <c r="A109">
        <v>2311</v>
      </c>
      <c r="B109">
        <v>52</v>
      </c>
      <c r="C109" t="s">
        <v>25</v>
      </c>
      <c r="D109">
        <v>3</v>
      </c>
      <c r="E109">
        <v>1</v>
      </c>
      <c r="F109">
        <v>2.2999999999999998</v>
      </c>
      <c r="G109">
        <v>1</v>
      </c>
      <c r="H109">
        <v>7</v>
      </c>
      <c r="I109" t="s">
        <v>86</v>
      </c>
      <c r="J109">
        <v>4</v>
      </c>
      <c r="K109">
        <v>4</v>
      </c>
      <c r="L109">
        <v>6</v>
      </c>
      <c r="M109">
        <f t="shared" si="13"/>
        <v>1</v>
      </c>
    </row>
    <row r="110" spans="1:13" x14ac:dyDescent="0.55000000000000004">
      <c r="A110">
        <v>2312</v>
      </c>
      <c r="B110">
        <v>75</v>
      </c>
      <c r="C110" t="s">
        <v>25</v>
      </c>
      <c r="D110">
        <v>9</v>
      </c>
      <c r="E110">
        <v>1</v>
      </c>
      <c r="F110">
        <v>2</v>
      </c>
      <c r="G110">
        <v>2</v>
      </c>
      <c r="H110">
        <v>2</v>
      </c>
      <c r="I110" t="s">
        <v>53</v>
      </c>
      <c r="J110">
        <v>3</v>
      </c>
      <c r="K110">
        <v>6</v>
      </c>
      <c r="L110">
        <v>4</v>
      </c>
      <c r="M110">
        <f t="shared" si="13"/>
        <v>1</v>
      </c>
    </row>
    <row r="111" spans="1:13" x14ac:dyDescent="0.55000000000000004">
      <c r="A111">
        <v>2313</v>
      </c>
      <c r="B111">
        <v>256</v>
      </c>
      <c r="C111" t="s">
        <v>25</v>
      </c>
      <c r="D111">
        <v>10</v>
      </c>
      <c r="E111">
        <v>1</v>
      </c>
      <c r="F111">
        <v>2</v>
      </c>
      <c r="G111">
        <v>2</v>
      </c>
      <c r="H111">
        <v>4</v>
      </c>
      <c r="J111">
        <v>4</v>
      </c>
      <c r="K111">
        <v>5</v>
      </c>
      <c r="L111">
        <v>4</v>
      </c>
      <c r="M111">
        <f t="shared" si="13"/>
        <v>1</v>
      </c>
    </row>
    <row r="112" spans="1:13" x14ac:dyDescent="0.55000000000000004">
      <c r="A112">
        <v>2314</v>
      </c>
      <c r="B112">
        <v>10</v>
      </c>
      <c r="C112" t="s">
        <v>25</v>
      </c>
      <c r="D112">
        <v>0</v>
      </c>
      <c r="E112">
        <v>1</v>
      </c>
      <c r="F112">
        <v>2.2999999999999998</v>
      </c>
      <c r="G112">
        <v>0</v>
      </c>
      <c r="H112">
        <v>3</v>
      </c>
      <c r="I112" t="s">
        <v>53</v>
      </c>
      <c r="J112">
        <v>1</v>
      </c>
      <c r="K112">
        <v>5</v>
      </c>
      <c r="L112">
        <v>3</v>
      </c>
      <c r="M112">
        <f t="shared" si="13"/>
        <v>1</v>
      </c>
    </row>
    <row r="113" spans="1:13" x14ac:dyDescent="0.55000000000000004">
      <c r="A113">
        <v>2315</v>
      </c>
      <c r="B113">
        <v>121</v>
      </c>
      <c r="C113" t="s">
        <v>25</v>
      </c>
      <c r="D113">
        <v>3</v>
      </c>
      <c r="E113">
        <v>1</v>
      </c>
      <c r="F113">
        <v>2</v>
      </c>
      <c r="G113">
        <v>1</v>
      </c>
      <c r="H113">
        <v>4</v>
      </c>
      <c r="J113">
        <v>4</v>
      </c>
      <c r="K113">
        <v>5</v>
      </c>
      <c r="L113">
        <v>4</v>
      </c>
      <c r="M113">
        <f t="shared" si="13"/>
        <v>1</v>
      </c>
    </row>
    <row r="114" spans="1:13" x14ac:dyDescent="0.55000000000000004">
      <c r="A114">
        <v>2318</v>
      </c>
      <c r="B114">
        <v>274</v>
      </c>
      <c r="C114" t="s">
        <v>25</v>
      </c>
      <c r="D114">
        <v>7</v>
      </c>
      <c r="E114">
        <v>1</v>
      </c>
      <c r="F114">
        <v>2.2999999999999998</v>
      </c>
      <c r="G114">
        <v>2</v>
      </c>
      <c r="H114">
        <v>4</v>
      </c>
      <c r="J114">
        <v>4</v>
      </c>
      <c r="K114">
        <v>5</v>
      </c>
      <c r="L114">
        <v>4</v>
      </c>
      <c r="M114">
        <f t="shared" si="13"/>
        <v>1</v>
      </c>
    </row>
    <row r="115" spans="1:13" x14ac:dyDescent="0.55000000000000004">
      <c r="A115">
        <v>2320</v>
      </c>
      <c r="B115">
        <v>45</v>
      </c>
      <c r="C115" t="s">
        <v>25</v>
      </c>
      <c r="D115">
        <v>10</v>
      </c>
      <c r="E115">
        <v>1</v>
      </c>
      <c r="F115">
        <v>2</v>
      </c>
      <c r="G115">
        <v>2</v>
      </c>
      <c r="H115">
        <v>4</v>
      </c>
      <c r="I115" t="s">
        <v>53</v>
      </c>
      <c r="J115">
        <v>3</v>
      </c>
      <c r="K115">
        <v>4</v>
      </c>
      <c r="L115">
        <v>6</v>
      </c>
      <c r="M115">
        <f t="shared" si="13"/>
        <v>1</v>
      </c>
    </row>
    <row r="116" spans="1:13" x14ac:dyDescent="0.55000000000000004">
      <c r="A116">
        <v>2321</v>
      </c>
      <c r="B116">
        <v>160</v>
      </c>
      <c r="C116" t="s">
        <v>25</v>
      </c>
      <c r="D116">
        <v>2</v>
      </c>
      <c r="E116">
        <v>1</v>
      </c>
      <c r="F116">
        <v>2</v>
      </c>
      <c r="G116">
        <v>0</v>
      </c>
      <c r="H116">
        <v>4</v>
      </c>
      <c r="J116">
        <v>4</v>
      </c>
      <c r="K116">
        <v>5</v>
      </c>
      <c r="L116">
        <v>4</v>
      </c>
      <c r="M116">
        <f t="shared" si="13"/>
        <v>1</v>
      </c>
    </row>
    <row r="117" spans="1:13" x14ac:dyDescent="0.55000000000000004">
      <c r="A117">
        <v>2322</v>
      </c>
      <c r="B117">
        <v>190</v>
      </c>
      <c r="C117" t="s">
        <v>25</v>
      </c>
      <c r="D117">
        <v>6</v>
      </c>
      <c r="E117">
        <v>1</v>
      </c>
      <c r="F117">
        <v>2.2999999999999998</v>
      </c>
      <c r="G117">
        <v>1</v>
      </c>
      <c r="H117">
        <v>4</v>
      </c>
      <c r="J117">
        <v>4</v>
      </c>
      <c r="K117">
        <v>5</v>
      </c>
      <c r="L117">
        <v>4</v>
      </c>
      <c r="M117">
        <f t="shared" si="13"/>
        <v>1</v>
      </c>
    </row>
    <row r="118" spans="1:13" x14ac:dyDescent="0.55000000000000004">
      <c r="A118">
        <v>2323</v>
      </c>
      <c r="B118">
        <v>191</v>
      </c>
      <c r="C118" t="s">
        <v>25</v>
      </c>
      <c r="D118">
        <v>1</v>
      </c>
      <c r="E118">
        <v>1</v>
      </c>
      <c r="F118">
        <v>2.2999999999999998</v>
      </c>
      <c r="G118">
        <v>0</v>
      </c>
      <c r="H118">
        <v>4</v>
      </c>
      <c r="J118">
        <v>4</v>
      </c>
      <c r="K118">
        <v>5</v>
      </c>
      <c r="L118">
        <v>4</v>
      </c>
      <c r="M118">
        <f t="shared" si="13"/>
        <v>1</v>
      </c>
    </row>
    <row r="119" spans="1:13" x14ac:dyDescent="0.55000000000000004">
      <c r="A119">
        <v>2325</v>
      </c>
      <c r="B119">
        <v>64</v>
      </c>
      <c r="C119" t="s">
        <v>25</v>
      </c>
      <c r="D119">
        <v>2</v>
      </c>
      <c r="E119">
        <v>1</v>
      </c>
      <c r="F119">
        <v>2</v>
      </c>
      <c r="G119">
        <v>0</v>
      </c>
      <c r="H119">
        <v>6</v>
      </c>
      <c r="I119" t="s">
        <v>53</v>
      </c>
      <c r="J119">
        <v>5</v>
      </c>
      <c r="K119">
        <v>2</v>
      </c>
      <c r="L119">
        <v>1</v>
      </c>
      <c r="M119">
        <f t="shared" si="13"/>
        <v>1</v>
      </c>
    </row>
    <row r="120" spans="1:13" x14ac:dyDescent="0.55000000000000004">
      <c r="A120">
        <v>2326</v>
      </c>
      <c r="B120">
        <v>67</v>
      </c>
      <c r="C120" t="s">
        <v>25</v>
      </c>
      <c r="D120">
        <v>4</v>
      </c>
      <c r="E120">
        <v>1</v>
      </c>
      <c r="F120">
        <v>2</v>
      </c>
      <c r="G120">
        <v>1</v>
      </c>
      <c r="H120">
        <v>4</v>
      </c>
      <c r="I120" t="s">
        <v>53</v>
      </c>
      <c r="J120">
        <v>2</v>
      </c>
      <c r="K120">
        <v>7</v>
      </c>
      <c r="L120">
        <v>4</v>
      </c>
      <c r="M120">
        <f t="shared" si="13"/>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A2876-6B98-4FBB-A28C-81F8CF543736}">
  <sheetPr>
    <tabColor rgb="FFC00000"/>
  </sheetPr>
  <dimension ref="A1:W54"/>
  <sheetViews>
    <sheetView topLeftCell="A12" zoomScale="39" workbookViewId="0">
      <selection activeCell="G56" sqref="G56"/>
    </sheetView>
  </sheetViews>
  <sheetFormatPr defaultRowHeight="14.4" x14ac:dyDescent="0.55000000000000004"/>
  <cols>
    <col min="1" max="1" width="12.41796875" bestFit="1" customWidth="1"/>
    <col min="2" max="2" width="14.7890625" bestFit="1" customWidth="1"/>
    <col min="3" max="3" width="13.1015625" customWidth="1"/>
    <col min="4" max="4" width="10.62890625" customWidth="1"/>
    <col min="5" max="5" width="11.20703125" customWidth="1"/>
    <col min="6" max="6" width="10.5234375" customWidth="1"/>
    <col min="7" max="7" width="12.26171875" customWidth="1"/>
    <col min="8" max="8" width="12.5234375" customWidth="1"/>
    <col min="9" max="9" width="18.578125" customWidth="1"/>
    <col min="10" max="10" width="15.7890625" customWidth="1"/>
    <col min="11" max="11" width="12.5234375" customWidth="1"/>
    <col min="12" max="12" width="11.20703125" customWidth="1"/>
    <col min="13" max="13" width="37.26171875" customWidth="1"/>
    <col min="14" max="14" width="36.5234375" customWidth="1"/>
    <col min="15" max="15" width="15.89453125" customWidth="1"/>
    <col min="16" max="16" width="25.41796875" customWidth="1"/>
    <col min="17" max="17" width="30.5234375" customWidth="1"/>
    <col min="18" max="18" width="48.83984375" customWidth="1"/>
    <col min="19" max="19" width="12.3125" bestFit="1" customWidth="1"/>
    <col min="20" max="20" width="13.20703125" customWidth="1"/>
    <col min="21" max="23" width="8.89453125" bestFit="1" customWidth="1"/>
  </cols>
  <sheetData>
    <row r="1" spans="1:16" ht="45" customHeight="1" x14ac:dyDescent="0.55000000000000004">
      <c r="A1" s="57" t="s">
        <v>239</v>
      </c>
      <c r="B1" s="57"/>
      <c r="C1" s="57"/>
      <c r="D1" s="57"/>
      <c r="E1" s="57"/>
      <c r="F1" s="57"/>
      <c r="G1" s="57"/>
      <c r="H1" s="57"/>
      <c r="I1" s="57"/>
      <c r="L1" s="51" t="s">
        <v>324</v>
      </c>
      <c r="M1" s="51" t="s">
        <v>325</v>
      </c>
      <c r="N1" s="51" t="s">
        <v>326</v>
      </c>
    </row>
    <row r="2" spans="1:16" ht="45" customHeight="1" x14ac:dyDescent="0.55000000000000004">
      <c r="A2" s="57"/>
      <c r="B2" s="57"/>
      <c r="C2" s="57"/>
      <c r="D2" s="57"/>
      <c r="E2" s="57"/>
      <c r="F2" s="57"/>
      <c r="G2" s="57"/>
      <c r="H2" s="57"/>
      <c r="I2" s="57"/>
      <c r="L2" s="48" t="s">
        <v>54</v>
      </c>
      <c r="M2" s="48" t="s">
        <v>327</v>
      </c>
      <c r="N2" s="48" t="s">
        <v>328</v>
      </c>
    </row>
    <row r="3" spans="1:16" ht="45" customHeight="1" x14ac:dyDescent="0.55000000000000004">
      <c r="A3" s="57"/>
      <c r="B3" s="57"/>
      <c r="C3" s="57"/>
      <c r="D3" s="57"/>
      <c r="E3" s="57"/>
      <c r="F3" s="57"/>
      <c r="G3" s="57"/>
      <c r="H3" s="57"/>
      <c r="I3" s="57"/>
      <c r="L3" s="48" t="s">
        <v>329</v>
      </c>
      <c r="M3" s="48" t="s">
        <v>330</v>
      </c>
      <c r="N3" s="48" t="s">
        <v>331</v>
      </c>
    </row>
    <row r="4" spans="1:16" ht="45" customHeight="1" x14ac:dyDescent="0.55000000000000004">
      <c r="A4" s="57"/>
      <c r="B4" s="57"/>
      <c r="C4" s="57"/>
      <c r="D4" s="57"/>
      <c r="E4" s="57"/>
      <c r="F4" s="57"/>
      <c r="G4" s="57"/>
      <c r="H4" s="57"/>
      <c r="I4" s="57"/>
      <c r="L4" s="48" t="s">
        <v>26</v>
      </c>
      <c r="M4" s="48" t="s">
        <v>332</v>
      </c>
      <c r="N4" s="48" t="s">
        <v>333</v>
      </c>
    </row>
    <row r="5" spans="1:16" x14ac:dyDescent="0.55000000000000004">
      <c r="L5" s="48" t="s">
        <v>334</v>
      </c>
      <c r="M5" s="48" t="s">
        <v>335</v>
      </c>
      <c r="N5" s="48" t="s">
        <v>336</v>
      </c>
    </row>
    <row r="6" spans="1:16" x14ac:dyDescent="0.55000000000000004">
      <c r="A6" s="22" t="s">
        <v>54</v>
      </c>
      <c r="B6" s="22" t="s">
        <v>225</v>
      </c>
      <c r="C6" s="22" t="s">
        <v>26</v>
      </c>
      <c r="D6" s="22" t="s">
        <v>97</v>
      </c>
      <c r="E6" s="22" t="s">
        <v>55</v>
      </c>
      <c r="F6" s="22" t="s">
        <v>98</v>
      </c>
      <c r="G6" s="22" t="s">
        <v>339</v>
      </c>
      <c r="H6" s="13" t="s">
        <v>340</v>
      </c>
      <c r="I6" s="22" t="s">
        <v>341</v>
      </c>
      <c r="J6" s="22" t="s">
        <v>342</v>
      </c>
      <c r="K6" s="22" t="s">
        <v>343</v>
      </c>
      <c r="L6" s="48" t="s">
        <v>55</v>
      </c>
      <c r="M6" s="48" t="s">
        <v>337</v>
      </c>
      <c r="N6" s="48" t="s">
        <v>338</v>
      </c>
    </row>
    <row r="7" spans="1:16" x14ac:dyDescent="0.55000000000000004">
      <c r="A7" s="27" t="s">
        <v>228</v>
      </c>
      <c r="B7" s="27" t="s">
        <v>231</v>
      </c>
      <c r="C7" s="28">
        <v>2.5</v>
      </c>
      <c r="D7" s="27" t="s">
        <v>100</v>
      </c>
      <c r="E7" s="27" t="s">
        <v>227</v>
      </c>
      <c r="F7" s="27">
        <v>13</v>
      </c>
      <c r="G7">
        <f>IF(A7="Lavender",1,IF(A7="Mint",0,-1))</f>
        <v>1</v>
      </c>
      <c r="H7">
        <f>IF(B7="Shea Butter",1,IF(B7="Cocoa Butter",0,-1))</f>
        <v>1</v>
      </c>
      <c r="I7">
        <f>IF(C7=2.5,1,IF(C7=3,0,-1))</f>
        <v>1</v>
      </c>
      <c r="J7">
        <f>IF(D7="Yes",1,-1)</f>
        <v>1</v>
      </c>
      <c r="K7">
        <f>IF(E7="White",1,-1)</f>
        <v>-1</v>
      </c>
    </row>
    <row r="8" spans="1:16" x14ac:dyDescent="0.55000000000000004">
      <c r="A8" s="27" t="s">
        <v>228</v>
      </c>
      <c r="B8" s="27" t="s">
        <v>232</v>
      </c>
      <c r="C8" s="28">
        <v>3</v>
      </c>
      <c r="D8" s="27" t="s">
        <v>100</v>
      </c>
      <c r="E8" s="27" t="s">
        <v>226</v>
      </c>
      <c r="F8" s="27">
        <v>11</v>
      </c>
      <c r="G8">
        <f t="shared" ref="G8:G24" si="0">IF(A8="Lavender",1,IF(A8="Mint",0,-1))</f>
        <v>1</v>
      </c>
      <c r="H8">
        <f t="shared" ref="H8:H24" si="1">IF(B8="Shea Butter",1,IF(B8="Cocoa Butter",0,-1))</f>
        <v>0</v>
      </c>
      <c r="I8">
        <f t="shared" ref="I8:I24" si="2">IF(C8=2.5,1,IF(C8=3,0,-1))</f>
        <v>0</v>
      </c>
      <c r="J8">
        <f t="shared" ref="J8:J24" si="3">IF(D8="Yes",1,-1)</f>
        <v>1</v>
      </c>
      <c r="K8">
        <f t="shared" ref="K8:K24" si="4">IF(E8="White",1,-1)</f>
        <v>1</v>
      </c>
    </row>
    <row r="9" spans="1:16" x14ac:dyDescent="0.55000000000000004">
      <c r="A9" s="27" t="s">
        <v>228</v>
      </c>
      <c r="B9" s="27" t="s">
        <v>233</v>
      </c>
      <c r="C9" s="28">
        <v>3.5</v>
      </c>
      <c r="D9" s="27" t="s">
        <v>99</v>
      </c>
      <c r="E9" s="27" t="s">
        <v>227</v>
      </c>
      <c r="F9" s="27">
        <v>17</v>
      </c>
      <c r="G9">
        <f t="shared" si="0"/>
        <v>1</v>
      </c>
      <c r="H9">
        <f t="shared" si="1"/>
        <v>-1</v>
      </c>
      <c r="I9">
        <f t="shared" si="2"/>
        <v>-1</v>
      </c>
      <c r="J9">
        <f t="shared" si="3"/>
        <v>-1</v>
      </c>
      <c r="K9">
        <f t="shared" si="4"/>
        <v>-1</v>
      </c>
    </row>
    <row r="10" spans="1:16" x14ac:dyDescent="0.55000000000000004">
      <c r="A10" s="27" t="s">
        <v>229</v>
      </c>
      <c r="B10" s="27" t="s">
        <v>231</v>
      </c>
      <c r="C10" s="28">
        <v>3</v>
      </c>
      <c r="D10" s="27" t="s">
        <v>99</v>
      </c>
      <c r="E10" s="27" t="s">
        <v>226</v>
      </c>
      <c r="F10" s="27">
        <v>2</v>
      </c>
      <c r="G10">
        <f t="shared" si="0"/>
        <v>0</v>
      </c>
      <c r="H10">
        <f t="shared" si="1"/>
        <v>1</v>
      </c>
      <c r="I10">
        <f t="shared" si="2"/>
        <v>0</v>
      </c>
      <c r="J10">
        <f t="shared" si="3"/>
        <v>-1</v>
      </c>
      <c r="K10">
        <f t="shared" si="4"/>
        <v>1</v>
      </c>
      <c r="O10" t="s">
        <v>278</v>
      </c>
    </row>
    <row r="11" spans="1:16" ht="14.7" thickBot="1" x14ac:dyDescent="0.6">
      <c r="A11" s="27" t="s">
        <v>229</v>
      </c>
      <c r="B11" s="27" t="s">
        <v>232</v>
      </c>
      <c r="C11" s="28">
        <v>3.5</v>
      </c>
      <c r="D11" s="27" t="s">
        <v>100</v>
      </c>
      <c r="E11" s="27" t="s">
        <v>227</v>
      </c>
      <c r="F11" s="27">
        <v>14</v>
      </c>
      <c r="G11">
        <f t="shared" si="0"/>
        <v>0</v>
      </c>
      <c r="H11">
        <f t="shared" si="1"/>
        <v>0</v>
      </c>
      <c r="I11">
        <f t="shared" si="2"/>
        <v>-1</v>
      </c>
      <c r="J11">
        <f t="shared" si="3"/>
        <v>1</v>
      </c>
      <c r="K11">
        <f t="shared" si="4"/>
        <v>-1</v>
      </c>
    </row>
    <row r="12" spans="1:16" x14ac:dyDescent="0.55000000000000004">
      <c r="A12" s="27" t="s">
        <v>229</v>
      </c>
      <c r="B12" s="27" t="s">
        <v>233</v>
      </c>
      <c r="C12" s="28">
        <v>2.5</v>
      </c>
      <c r="D12" s="27" t="s">
        <v>100</v>
      </c>
      <c r="E12" s="27" t="s">
        <v>227</v>
      </c>
      <c r="F12" s="27">
        <v>3</v>
      </c>
      <c r="G12">
        <f t="shared" si="0"/>
        <v>0</v>
      </c>
      <c r="H12">
        <f t="shared" si="1"/>
        <v>-1</v>
      </c>
      <c r="I12">
        <f t="shared" si="2"/>
        <v>1</v>
      </c>
      <c r="J12">
        <f t="shared" si="3"/>
        <v>1</v>
      </c>
      <c r="K12">
        <f t="shared" si="4"/>
        <v>-1</v>
      </c>
      <c r="O12" s="47" t="s">
        <v>279</v>
      </c>
      <c r="P12" s="47"/>
    </row>
    <row r="13" spans="1:16" x14ac:dyDescent="0.55000000000000004">
      <c r="A13" s="27" t="s">
        <v>230</v>
      </c>
      <c r="B13" s="27" t="s">
        <v>231</v>
      </c>
      <c r="C13" s="28">
        <v>3.5</v>
      </c>
      <c r="D13" s="27" t="s">
        <v>100</v>
      </c>
      <c r="E13" s="27" t="s">
        <v>226</v>
      </c>
      <c r="F13" s="27">
        <v>12</v>
      </c>
      <c r="G13">
        <f t="shared" si="0"/>
        <v>-1</v>
      </c>
      <c r="H13">
        <f t="shared" si="1"/>
        <v>1</v>
      </c>
      <c r="I13">
        <f t="shared" si="2"/>
        <v>-1</v>
      </c>
      <c r="J13">
        <f t="shared" si="3"/>
        <v>1</v>
      </c>
      <c r="K13">
        <f t="shared" si="4"/>
        <v>1</v>
      </c>
      <c r="O13" t="s">
        <v>280</v>
      </c>
      <c r="P13">
        <v>0.83007619396540799</v>
      </c>
    </row>
    <row r="14" spans="1:16" x14ac:dyDescent="0.55000000000000004">
      <c r="A14" s="27" t="s">
        <v>230</v>
      </c>
      <c r="B14" s="27" t="s">
        <v>232</v>
      </c>
      <c r="C14" s="28">
        <v>2.5</v>
      </c>
      <c r="D14" s="27" t="s">
        <v>99</v>
      </c>
      <c r="E14" s="27" t="s">
        <v>227</v>
      </c>
      <c r="F14" s="27">
        <v>7</v>
      </c>
      <c r="G14">
        <f t="shared" si="0"/>
        <v>-1</v>
      </c>
      <c r="H14">
        <f t="shared" si="1"/>
        <v>0</v>
      </c>
      <c r="I14">
        <f t="shared" si="2"/>
        <v>1</v>
      </c>
      <c r="J14">
        <f t="shared" si="3"/>
        <v>-1</v>
      </c>
      <c r="K14">
        <f t="shared" si="4"/>
        <v>-1</v>
      </c>
      <c r="O14" t="s">
        <v>281</v>
      </c>
      <c r="P14">
        <v>0.68902648778809772</v>
      </c>
    </row>
    <row r="15" spans="1:16" x14ac:dyDescent="0.55000000000000004">
      <c r="A15" s="27" t="s">
        <v>230</v>
      </c>
      <c r="B15" s="27" t="s">
        <v>233</v>
      </c>
      <c r="C15" s="28">
        <v>3</v>
      </c>
      <c r="D15" s="27" t="s">
        <v>100</v>
      </c>
      <c r="E15" s="27" t="s">
        <v>227</v>
      </c>
      <c r="F15" s="27">
        <v>9</v>
      </c>
      <c r="G15">
        <f t="shared" si="0"/>
        <v>-1</v>
      </c>
      <c r="H15">
        <f t="shared" si="1"/>
        <v>-1</v>
      </c>
      <c r="I15">
        <f t="shared" si="2"/>
        <v>0</v>
      </c>
      <c r="J15">
        <f t="shared" si="3"/>
        <v>1</v>
      </c>
      <c r="K15">
        <f t="shared" si="4"/>
        <v>-1</v>
      </c>
      <c r="O15" t="s">
        <v>282</v>
      </c>
      <c r="P15">
        <v>0.55945419103313843</v>
      </c>
    </row>
    <row r="16" spans="1:16" x14ac:dyDescent="0.55000000000000004">
      <c r="A16" s="27" t="s">
        <v>228</v>
      </c>
      <c r="B16" s="27" t="s">
        <v>231</v>
      </c>
      <c r="C16" s="28">
        <v>3.5</v>
      </c>
      <c r="D16" s="27" t="s">
        <v>99</v>
      </c>
      <c r="E16" s="27" t="s">
        <v>227</v>
      </c>
      <c r="F16" s="27">
        <v>18</v>
      </c>
      <c r="G16">
        <f t="shared" si="0"/>
        <v>1</v>
      </c>
      <c r="H16">
        <f t="shared" si="1"/>
        <v>1</v>
      </c>
      <c r="I16">
        <f t="shared" si="2"/>
        <v>-1</v>
      </c>
      <c r="J16">
        <f t="shared" si="3"/>
        <v>-1</v>
      </c>
      <c r="K16">
        <f t="shared" si="4"/>
        <v>-1</v>
      </c>
      <c r="O16" t="s">
        <v>283</v>
      </c>
      <c r="P16">
        <v>3.5433819375782165</v>
      </c>
    </row>
    <row r="17" spans="1:23" ht="14.7" thickBot="1" x14ac:dyDescent="0.6">
      <c r="A17" s="27" t="s">
        <v>228</v>
      </c>
      <c r="B17" s="27" t="s">
        <v>232</v>
      </c>
      <c r="C17" s="28">
        <v>2.5</v>
      </c>
      <c r="D17" s="27" t="s">
        <v>100</v>
      </c>
      <c r="E17" s="27" t="s">
        <v>226</v>
      </c>
      <c r="F17" s="27">
        <v>8</v>
      </c>
      <c r="G17">
        <f t="shared" si="0"/>
        <v>1</v>
      </c>
      <c r="H17">
        <f t="shared" si="1"/>
        <v>0</v>
      </c>
      <c r="I17">
        <f t="shared" si="2"/>
        <v>1</v>
      </c>
      <c r="J17">
        <f t="shared" si="3"/>
        <v>1</v>
      </c>
      <c r="K17">
        <f t="shared" si="4"/>
        <v>1</v>
      </c>
      <c r="O17" s="45" t="s">
        <v>284</v>
      </c>
      <c r="P17" s="45">
        <v>18</v>
      </c>
    </row>
    <row r="18" spans="1:23" x14ac:dyDescent="0.55000000000000004">
      <c r="A18" s="27" t="s">
        <v>228</v>
      </c>
      <c r="B18" s="27" t="s">
        <v>233</v>
      </c>
      <c r="C18" s="28">
        <v>3</v>
      </c>
      <c r="D18" s="27" t="s">
        <v>100</v>
      </c>
      <c r="E18" s="27" t="s">
        <v>227</v>
      </c>
      <c r="F18" s="27">
        <v>15</v>
      </c>
      <c r="G18">
        <f t="shared" si="0"/>
        <v>1</v>
      </c>
      <c r="H18">
        <f t="shared" si="1"/>
        <v>-1</v>
      </c>
      <c r="I18">
        <f t="shared" si="2"/>
        <v>0</v>
      </c>
      <c r="J18">
        <f t="shared" si="3"/>
        <v>1</v>
      </c>
      <c r="K18">
        <f t="shared" si="4"/>
        <v>-1</v>
      </c>
    </row>
    <row r="19" spans="1:23" ht="14.7" thickBot="1" x14ac:dyDescent="0.6">
      <c r="A19" s="27" t="s">
        <v>229</v>
      </c>
      <c r="B19" s="27" t="s">
        <v>231</v>
      </c>
      <c r="C19" s="28">
        <v>2.5</v>
      </c>
      <c r="D19" s="27" t="s">
        <v>100</v>
      </c>
      <c r="E19" s="27" t="s">
        <v>227</v>
      </c>
      <c r="F19" s="27">
        <v>4</v>
      </c>
      <c r="G19">
        <f t="shared" si="0"/>
        <v>0</v>
      </c>
      <c r="H19">
        <f t="shared" si="1"/>
        <v>1</v>
      </c>
      <c r="I19">
        <f t="shared" si="2"/>
        <v>1</v>
      </c>
      <c r="J19">
        <f t="shared" si="3"/>
        <v>1</v>
      </c>
      <c r="K19">
        <f t="shared" si="4"/>
        <v>-1</v>
      </c>
      <c r="O19" t="s">
        <v>285</v>
      </c>
    </row>
    <row r="20" spans="1:23" x14ac:dyDescent="0.55000000000000004">
      <c r="A20" s="27" t="s">
        <v>229</v>
      </c>
      <c r="B20" s="27" t="s">
        <v>232</v>
      </c>
      <c r="C20" s="28">
        <v>3</v>
      </c>
      <c r="D20" s="27" t="s">
        <v>99</v>
      </c>
      <c r="E20" s="27" t="s">
        <v>227</v>
      </c>
      <c r="F20" s="27">
        <v>6</v>
      </c>
      <c r="G20">
        <f t="shared" si="0"/>
        <v>0</v>
      </c>
      <c r="H20">
        <f t="shared" si="1"/>
        <v>0</v>
      </c>
      <c r="I20">
        <f t="shared" si="2"/>
        <v>0</v>
      </c>
      <c r="J20">
        <f t="shared" si="3"/>
        <v>-1</v>
      </c>
      <c r="K20">
        <f t="shared" si="4"/>
        <v>-1</v>
      </c>
      <c r="O20" s="46"/>
      <c r="P20" s="46" t="s">
        <v>290</v>
      </c>
      <c r="Q20" s="46" t="s">
        <v>291</v>
      </c>
      <c r="R20" s="46" t="s">
        <v>292</v>
      </c>
      <c r="S20" s="46" t="s">
        <v>53</v>
      </c>
      <c r="T20" s="46" t="s">
        <v>293</v>
      </c>
    </row>
    <row r="21" spans="1:23" x14ac:dyDescent="0.55000000000000004">
      <c r="A21" s="27" t="s">
        <v>229</v>
      </c>
      <c r="B21" s="27" t="s">
        <v>233</v>
      </c>
      <c r="C21" s="28">
        <v>3.5</v>
      </c>
      <c r="D21" s="27" t="s">
        <v>100</v>
      </c>
      <c r="E21" s="27" t="s">
        <v>226</v>
      </c>
      <c r="F21" s="27">
        <v>5</v>
      </c>
      <c r="G21">
        <f t="shared" si="0"/>
        <v>0</v>
      </c>
      <c r="H21">
        <f t="shared" si="1"/>
        <v>-1</v>
      </c>
      <c r="I21">
        <f t="shared" si="2"/>
        <v>-1</v>
      </c>
      <c r="J21">
        <f t="shared" si="3"/>
        <v>1</v>
      </c>
      <c r="K21">
        <f t="shared" si="4"/>
        <v>1</v>
      </c>
      <c r="O21" t="s">
        <v>286</v>
      </c>
      <c r="P21">
        <v>5</v>
      </c>
      <c r="Q21">
        <v>333.83333333333337</v>
      </c>
      <c r="R21">
        <v>66.76666666666668</v>
      </c>
      <c r="S21">
        <v>5.317699115044249</v>
      </c>
      <c r="T21">
        <v>8.3380762768351154E-3</v>
      </c>
    </row>
    <row r="22" spans="1:23" x14ac:dyDescent="0.55000000000000004">
      <c r="A22" s="27" t="s">
        <v>230</v>
      </c>
      <c r="B22" s="27" t="s">
        <v>231</v>
      </c>
      <c r="C22" s="28">
        <v>3</v>
      </c>
      <c r="D22" s="27" t="s">
        <v>100</v>
      </c>
      <c r="E22" s="27" t="s">
        <v>227</v>
      </c>
      <c r="F22" s="27">
        <v>10</v>
      </c>
      <c r="G22">
        <f t="shared" si="0"/>
        <v>-1</v>
      </c>
      <c r="H22">
        <f t="shared" si="1"/>
        <v>1</v>
      </c>
      <c r="I22">
        <f t="shared" si="2"/>
        <v>0</v>
      </c>
      <c r="J22">
        <f t="shared" si="3"/>
        <v>1</v>
      </c>
      <c r="K22">
        <f t="shared" si="4"/>
        <v>-1</v>
      </c>
      <c r="O22" t="s">
        <v>287</v>
      </c>
      <c r="P22">
        <v>12</v>
      </c>
      <c r="Q22">
        <v>150.66666666666666</v>
      </c>
      <c r="R22">
        <v>12.555555555555555</v>
      </c>
    </row>
    <row r="23" spans="1:23" ht="14.7" thickBot="1" x14ac:dyDescent="0.6">
      <c r="A23" s="27" t="s">
        <v>230</v>
      </c>
      <c r="B23" s="27" t="s">
        <v>232</v>
      </c>
      <c r="C23" s="28">
        <v>3.5</v>
      </c>
      <c r="D23" s="27" t="s">
        <v>100</v>
      </c>
      <c r="E23" s="27" t="s">
        <v>227</v>
      </c>
      <c r="F23" s="27">
        <v>16</v>
      </c>
      <c r="G23">
        <f t="shared" si="0"/>
        <v>-1</v>
      </c>
      <c r="H23">
        <f t="shared" si="1"/>
        <v>0</v>
      </c>
      <c r="I23">
        <f t="shared" si="2"/>
        <v>-1</v>
      </c>
      <c r="J23">
        <f t="shared" si="3"/>
        <v>1</v>
      </c>
      <c r="K23">
        <f t="shared" si="4"/>
        <v>-1</v>
      </c>
      <c r="O23" s="45" t="s">
        <v>288</v>
      </c>
      <c r="P23" s="45">
        <v>17</v>
      </c>
      <c r="Q23" s="45">
        <v>484.5</v>
      </c>
      <c r="R23" s="45"/>
      <c r="S23" s="45"/>
      <c r="T23" s="45"/>
    </row>
    <row r="24" spans="1:23" ht="14.7" thickBot="1" x14ac:dyDescent="0.6">
      <c r="A24" s="27" t="s">
        <v>230</v>
      </c>
      <c r="B24" s="27" t="s">
        <v>233</v>
      </c>
      <c r="C24" s="28">
        <v>2.5</v>
      </c>
      <c r="D24" s="27" t="s">
        <v>99</v>
      </c>
      <c r="E24" s="27" t="s">
        <v>226</v>
      </c>
      <c r="F24" s="27">
        <v>1</v>
      </c>
      <c r="G24">
        <f t="shared" si="0"/>
        <v>-1</v>
      </c>
      <c r="H24">
        <f t="shared" si="1"/>
        <v>-1</v>
      </c>
      <c r="I24">
        <f t="shared" si="2"/>
        <v>1</v>
      </c>
      <c r="J24">
        <f t="shared" si="3"/>
        <v>-1</v>
      </c>
      <c r="K24">
        <f t="shared" si="4"/>
        <v>1</v>
      </c>
    </row>
    <row r="25" spans="1:23" x14ac:dyDescent="0.55000000000000004">
      <c r="O25" s="46"/>
      <c r="P25" s="46" t="s">
        <v>294</v>
      </c>
      <c r="Q25" s="46" t="s">
        <v>283</v>
      </c>
      <c r="R25" s="46" t="s">
        <v>295</v>
      </c>
      <c r="S25" s="46" t="s">
        <v>296</v>
      </c>
      <c r="T25" s="46" t="s">
        <v>297</v>
      </c>
      <c r="U25" s="46" t="s">
        <v>298</v>
      </c>
      <c r="V25" s="46" t="s">
        <v>299</v>
      </c>
      <c r="W25" s="46" t="s">
        <v>300</v>
      </c>
    </row>
    <row r="26" spans="1:23" x14ac:dyDescent="0.55000000000000004">
      <c r="O26" t="s">
        <v>289</v>
      </c>
      <c r="P26">
        <v>8.5</v>
      </c>
      <c r="Q26">
        <v>0.93376312855397858</v>
      </c>
      <c r="R26">
        <v>9.1029509948235603</v>
      </c>
      <c r="S26">
        <v>9.7896986055441568E-7</v>
      </c>
      <c r="T26">
        <v>6.465504915636382</v>
      </c>
      <c r="U26">
        <v>10.534495084363618</v>
      </c>
      <c r="V26">
        <v>6.465504915636382</v>
      </c>
      <c r="W26">
        <v>10.534495084363618</v>
      </c>
    </row>
    <row r="27" spans="1:23" ht="18.3" x14ac:dyDescent="0.7">
      <c r="A27" s="52" t="s">
        <v>356</v>
      </c>
      <c r="O27" t="s">
        <v>339</v>
      </c>
      <c r="P27">
        <v>2.2499999999999996</v>
      </c>
      <c r="Q27">
        <v>1.0228862577512203</v>
      </c>
      <c r="R27">
        <v>2.1996580587039518</v>
      </c>
      <c r="S27">
        <v>4.8166355101254776E-2</v>
      </c>
      <c r="T27">
        <v>2.1322298321341027E-2</v>
      </c>
      <c r="U27">
        <v>4.4786777016786576</v>
      </c>
      <c r="V27">
        <v>2.1322298321341027E-2</v>
      </c>
      <c r="W27">
        <v>4.4786777016786576</v>
      </c>
    </row>
    <row r="28" spans="1:23" x14ac:dyDescent="0.55000000000000004">
      <c r="A28" s="29" t="s">
        <v>357</v>
      </c>
      <c r="B28" s="29" t="s">
        <v>54</v>
      </c>
      <c r="C28" s="29" t="s">
        <v>329</v>
      </c>
      <c r="D28" s="29" t="s">
        <v>26</v>
      </c>
      <c r="E28" s="29" t="s">
        <v>334</v>
      </c>
      <c r="F28" s="29" t="s">
        <v>55</v>
      </c>
      <c r="G28" s="29" t="s">
        <v>358</v>
      </c>
      <c r="O28" t="s">
        <v>340</v>
      </c>
      <c r="P28">
        <v>0.74999999999999989</v>
      </c>
      <c r="Q28">
        <v>1.0228862577512201</v>
      </c>
      <c r="R28">
        <v>0.73321935290131757</v>
      </c>
      <c r="S28">
        <v>0.47750467984703093</v>
      </c>
      <c r="T28">
        <v>-1.4786777016786581</v>
      </c>
      <c r="U28">
        <v>2.9786777016786581</v>
      </c>
      <c r="V28">
        <v>-1.4786777016786581</v>
      </c>
      <c r="W28">
        <v>2.9786777016786581</v>
      </c>
    </row>
    <row r="29" spans="1:23" ht="43.2" x14ac:dyDescent="0.55000000000000004">
      <c r="A29" s="53">
        <v>1</v>
      </c>
      <c r="B29" s="53" t="s">
        <v>229</v>
      </c>
      <c r="C29" s="53" t="s">
        <v>233</v>
      </c>
      <c r="D29" s="54">
        <v>2.5</v>
      </c>
      <c r="E29" s="53" t="s">
        <v>100</v>
      </c>
      <c r="F29" s="53" t="s">
        <v>227</v>
      </c>
      <c r="G29" s="53" t="s">
        <v>359</v>
      </c>
      <c r="O29" t="s">
        <v>341</v>
      </c>
      <c r="P29">
        <v>-3.8333333333333348</v>
      </c>
      <c r="Q29">
        <v>1.0228862577512206</v>
      </c>
      <c r="R29">
        <v>-3.7475655814956235</v>
      </c>
      <c r="S29">
        <v>2.7832966373969301E-3</v>
      </c>
      <c r="T29">
        <v>-6.0620110350119933</v>
      </c>
      <c r="U29">
        <v>-1.6046556316546758</v>
      </c>
      <c r="V29">
        <v>-6.0620110350119933</v>
      </c>
      <c r="W29">
        <v>-1.6046556316546758</v>
      </c>
    </row>
    <row r="30" spans="1:23" ht="57.6" x14ac:dyDescent="0.55000000000000004">
      <c r="A30" s="53">
        <v>2</v>
      </c>
      <c r="B30" s="53" t="s">
        <v>229</v>
      </c>
      <c r="C30" s="53" t="s">
        <v>231</v>
      </c>
      <c r="D30" s="54">
        <v>3</v>
      </c>
      <c r="E30" s="53" t="s">
        <v>99</v>
      </c>
      <c r="F30" s="53" t="s">
        <v>226</v>
      </c>
      <c r="G30" s="53" t="s">
        <v>360</v>
      </c>
      <c r="O30" t="s">
        <v>342</v>
      </c>
      <c r="P30">
        <v>0.75</v>
      </c>
      <c r="Q30">
        <v>0.88584548439455413</v>
      </c>
      <c r="R30">
        <v>0.84664878154523759</v>
      </c>
      <c r="S30">
        <v>0.41375691513096391</v>
      </c>
      <c r="T30">
        <v>-1.1800915065016351</v>
      </c>
      <c r="U30">
        <v>2.6800915065016353</v>
      </c>
      <c r="V30">
        <v>-1.1800915065016351</v>
      </c>
      <c r="W30">
        <v>2.6800915065016353</v>
      </c>
    </row>
    <row r="31" spans="1:23" ht="57.9" thickBot="1" x14ac:dyDescent="0.6">
      <c r="A31" s="53">
        <v>3</v>
      </c>
      <c r="B31" s="53" t="s">
        <v>230</v>
      </c>
      <c r="C31" s="53" t="s">
        <v>233</v>
      </c>
      <c r="D31" s="54">
        <v>2.5</v>
      </c>
      <c r="E31" s="53" t="s">
        <v>99</v>
      </c>
      <c r="F31" s="53" t="s">
        <v>226</v>
      </c>
      <c r="G31" s="53" t="s">
        <v>361</v>
      </c>
      <c r="O31" s="45" t="s">
        <v>343</v>
      </c>
      <c r="P31" s="45">
        <v>-2.2500000000000004</v>
      </c>
      <c r="Q31" s="45">
        <v>0.88584548439455413</v>
      </c>
      <c r="R31" s="45">
        <v>-2.5399463446357133</v>
      </c>
      <c r="S31" s="45">
        <v>2.594084866945125E-2</v>
      </c>
      <c r="T31" s="45">
        <v>-4.1800915065016353</v>
      </c>
      <c r="U31" s="45">
        <v>-0.31990849349836536</v>
      </c>
      <c r="V31" s="45">
        <v>-4.1800915065016353</v>
      </c>
      <c r="W31" s="45">
        <v>-0.31990849349836536</v>
      </c>
    </row>
    <row r="34" spans="1:18" ht="18.3" x14ac:dyDescent="0.7">
      <c r="A34" s="52" t="s">
        <v>362</v>
      </c>
    </row>
    <row r="35" spans="1:18" ht="18.3" x14ac:dyDescent="0.7">
      <c r="A35" s="52" t="s">
        <v>373</v>
      </c>
      <c r="O35" s="13" t="s">
        <v>344</v>
      </c>
    </row>
    <row r="36" spans="1:18" ht="15.6" x14ac:dyDescent="0.6">
      <c r="A36" s="55" t="s">
        <v>374</v>
      </c>
    </row>
    <row r="37" spans="1:18" ht="18.3" x14ac:dyDescent="0.7">
      <c r="A37" s="52" t="s">
        <v>363</v>
      </c>
      <c r="O37" s="13" t="s">
        <v>324</v>
      </c>
      <c r="P37" s="13" t="s">
        <v>345</v>
      </c>
      <c r="Q37" s="13" t="s">
        <v>346</v>
      </c>
      <c r="R37" s="13" t="s">
        <v>347</v>
      </c>
    </row>
    <row r="38" spans="1:18" x14ac:dyDescent="0.55000000000000004">
      <c r="A38" s="29" t="s">
        <v>324</v>
      </c>
      <c r="B38" s="29" t="s">
        <v>325</v>
      </c>
      <c r="C38" s="29" t="s">
        <v>364</v>
      </c>
      <c r="O38" t="s">
        <v>54</v>
      </c>
      <c r="P38" t="s">
        <v>339</v>
      </c>
      <c r="Q38">
        <v>2.25</v>
      </c>
      <c r="R38" t="s">
        <v>348</v>
      </c>
    </row>
    <row r="39" spans="1:18" ht="43.2" x14ac:dyDescent="0.55000000000000004">
      <c r="A39" s="53" t="s">
        <v>54</v>
      </c>
      <c r="B39" s="53" t="s">
        <v>365</v>
      </c>
      <c r="C39" s="53" t="s">
        <v>366</v>
      </c>
      <c r="O39" t="s">
        <v>329</v>
      </c>
      <c r="P39" t="s">
        <v>340</v>
      </c>
      <c r="Q39">
        <v>0.75</v>
      </c>
      <c r="R39" t="s">
        <v>349</v>
      </c>
    </row>
    <row r="40" spans="1:18" ht="28.8" x14ac:dyDescent="0.55000000000000004">
      <c r="A40" s="53" t="s">
        <v>329</v>
      </c>
      <c r="B40" s="53" t="s">
        <v>367</v>
      </c>
      <c r="C40" s="53" t="s">
        <v>366</v>
      </c>
      <c r="O40" t="s">
        <v>26</v>
      </c>
      <c r="P40" t="s">
        <v>341</v>
      </c>
      <c r="Q40" t="s">
        <v>350</v>
      </c>
      <c r="R40" t="s">
        <v>351</v>
      </c>
    </row>
    <row r="41" spans="1:18" ht="28.8" x14ac:dyDescent="0.55000000000000004">
      <c r="A41" s="53" t="s">
        <v>26</v>
      </c>
      <c r="B41" s="53" t="s">
        <v>368</v>
      </c>
      <c r="C41" s="53" t="s">
        <v>366</v>
      </c>
      <c r="O41" t="s">
        <v>334</v>
      </c>
      <c r="P41" t="s">
        <v>352</v>
      </c>
      <c r="Q41">
        <v>0.75</v>
      </c>
      <c r="R41" t="s">
        <v>353</v>
      </c>
    </row>
    <row r="42" spans="1:18" ht="28.8" x14ac:dyDescent="0.55000000000000004">
      <c r="A42" s="53" t="s">
        <v>334</v>
      </c>
      <c r="B42" s="53" t="s">
        <v>369</v>
      </c>
      <c r="C42" s="53" t="s">
        <v>370</v>
      </c>
      <c r="O42" t="s">
        <v>55</v>
      </c>
      <c r="P42" t="s">
        <v>343</v>
      </c>
      <c r="Q42" t="s">
        <v>354</v>
      </c>
      <c r="R42" t="s">
        <v>355</v>
      </c>
    </row>
    <row r="43" spans="1:18" ht="28.8" x14ac:dyDescent="0.55000000000000004">
      <c r="A43" s="53" t="s">
        <v>55</v>
      </c>
      <c r="B43" s="53" t="s">
        <v>371</v>
      </c>
      <c r="C43" s="53" t="s">
        <v>370</v>
      </c>
    </row>
    <row r="45" spans="1:18" x14ac:dyDescent="0.55000000000000004">
      <c r="A45" s="60" t="s">
        <v>372</v>
      </c>
      <c r="B45" s="61"/>
      <c r="C45" s="61"/>
      <c r="D45" s="61"/>
      <c r="E45" s="61"/>
      <c r="F45" s="61"/>
      <c r="G45" s="61"/>
      <c r="H45" s="61"/>
      <c r="I45" s="61"/>
    </row>
    <row r="46" spans="1:18" x14ac:dyDescent="0.55000000000000004">
      <c r="A46" s="61"/>
      <c r="B46" s="61"/>
      <c r="C46" s="61"/>
      <c r="D46" s="61"/>
      <c r="E46" s="61"/>
      <c r="F46" s="61"/>
      <c r="G46" s="61"/>
      <c r="H46" s="61"/>
      <c r="I46" s="61"/>
    </row>
    <row r="47" spans="1:18" x14ac:dyDescent="0.55000000000000004">
      <c r="A47" s="61"/>
      <c r="B47" s="61"/>
      <c r="C47" s="61"/>
      <c r="D47" s="61"/>
      <c r="E47" s="61"/>
      <c r="F47" s="61"/>
      <c r="G47" s="61"/>
      <c r="H47" s="61"/>
      <c r="I47" s="61"/>
    </row>
    <row r="48" spans="1:18" x14ac:dyDescent="0.55000000000000004">
      <c r="A48" s="61"/>
      <c r="B48" s="61"/>
      <c r="C48" s="61"/>
      <c r="D48" s="61"/>
      <c r="E48" s="61"/>
      <c r="F48" s="61"/>
      <c r="G48" s="61"/>
      <c r="H48" s="61"/>
      <c r="I48" s="61"/>
    </row>
    <row r="49" spans="1:9" x14ac:dyDescent="0.55000000000000004">
      <c r="A49" s="61"/>
      <c r="B49" s="61"/>
      <c r="C49" s="61"/>
      <c r="D49" s="61"/>
      <c r="E49" s="61"/>
      <c r="F49" s="61"/>
      <c r="G49" s="61"/>
      <c r="H49" s="61"/>
      <c r="I49" s="61"/>
    </row>
    <row r="50" spans="1:9" x14ac:dyDescent="0.55000000000000004">
      <c r="A50" s="61"/>
      <c r="B50" s="61"/>
      <c r="C50" s="61"/>
      <c r="D50" s="61"/>
      <c r="E50" s="61"/>
      <c r="F50" s="61"/>
      <c r="G50" s="61"/>
      <c r="H50" s="61"/>
      <c r="I50" s="61"/>
    </row>
    <row r="51" spans="1:9" x14ac:dyDescent="0.55000000000000004">
      <c r="A51" s="61"/>
      <c r="B51" s="61"/>
      <c r="C51" s="61"/>
      <c r="D51" s="61"/>
      <c r="E51" s="61"/>
      <c r="F51" s="61"/>
      <c r="G51" s="61"/>
      <c r="H51" s="61"/>
      <c r="I51" s="61"/>
    </row>
    <row r="52" spans="1:9" x14ac:dyDescent="0.55000000000000004">
      <c r="A52" s="61"/>
      <c r="B52" s="61"/>
      <c r="C52" s="61"/>
      <c r="D52" s="61"/>
      <c r="E52" s="61"/>
      <c r="F52" s="61"/>
      <c r="G52" s="61"/>
      <c r="H52" s="61"/>
      <c r="I52" s="61"/>
    </row>
    <row r="53" spans="1:9" x14ac:dyDescent="0.55000000000000004">
      <c r="A53" s="61"/>
      <c r="B53" s="61"/>
      <c r="C53" s="61"/>
      <c r="D53" s="61"/>
      <c r="E53" s="61"/>
      <c r="F53" s="61"/>
      <c r="G53" s="61"/>
      <c r="H53" s="61"/>
      <c r="I53" s="61"/>
    </row>
    <row r="54" spans="1:9" x14ac:dyDescent="0.55000000000000004">
      <c r="A54" s="61"/>
      <c r="B54" s="61"/>
      <c r="C54" s="61"/>
      <c r="D54" s="61"/>
      <c r="E54" s="61"/>
      <c r="F54" s="61"/>
      <c r="G54" s="61"/>
      <c r="H54" s="61"/>
      <c r="I54" s="61"/>
    </row>
  </sheetData>
  <mergeCells count="2">
    <mergeCell ref="A45:I54"/>
    <mergeCell ref="A1:I4"/>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FF42E5-A6E1-469A-AFFE-F7444E45C1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10</vt:i4>
      </vt:variant>
    </vt:vector>
  </HeadingPairs>
  <TitlesOfParts>
    <vt:vector size="30" baseType="lpstr">
      <vt:lpstr>Sheet1</vt:lpstr>
      <vt:lpstr>Sheet2</vt:lpstr>
      <vt:lpstr>Sheet3</vt:lpstr>
      <vt:lpstr>Data Determination</vt:lpstr>
      <vt:lpstr>Forecast_Cookies</vt:lpstr>
      <vt:lpstr>Forecast_Soda</vt:lpstr>
      <vt:lpstr>Forecast_Coffee</vt:lpstr>
      <vt:lpstr>Forecast_Speciaity </vt:lpstr>
      <vt:lpstr>Detail1</vt:lpstr>
      <vt:lpstr>Detail2</vt:lpstr>
      <vt:lpstr>Visualization Data</vt:lpstr>
      <vt:lpstr>Dashboard</vt:lpstr>
      <vt:lpstr>Natural Soap</vt:lpstr>
      <vt:lpstr>Soap Sales</vt:lpstr>
      <vt:lpstr>Soap Customer Profiles</vt:lpstr>
      <vt:lpstr>Merged_soap</vt:lpstr>
      <vt:lpstr>(b)</vt:lpstr>
      <vt:lpstr>(c)</vt:lpstr>
      <vt:lpstr>(d)</vt:lpstr>
      <vt:lpstr>Soap Conjoint</vt:lpstr>
      <vt:lpstr>'Natural Soap'!Lotion</vt:lpstr>
      <vt:lpstr>Lotion</vt:lpstr>
      <vt:lpstr>'Natural Soap'!SoapCost</vt:lpstr>
      <vt:lpstr>SoapCost</vt:lpstr>
      <vt:lpstr>'Natural Soap'!SoapPrice</vt:lpstr>
      <vt:lpstr>SoapPrice</vt:lpstr>
      <vt:lpstr>'Natural Soap'!SoapSold</vt:lpstr>
      <vt:lpstr>SoapSold</vt:lpstr>
      <vt:lpstr>'Natural Soap'!SoapType</vt:lpstr>
      <vt:lpstr>SoapType</vt:lpstr>
    </vt:vector>
  </TitlesOfParts>
  <Company>Webster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Rhiney - Chair, Management</dc:creator>
  <cp:lastModifiedBy>pranav mekala</cp:lastModifiedBy>
  <dcterms:created xsi:type="dcterms:W3CDTF">2023-11-12T19:51:52Z</dcterms:created>
  <dcterms:modified xsi:type="dcterms:W3CDTF">2025-09-25T18:55:56Z</dcterms:modified>
</cp:coreProperties>
</file>